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data/"/>
    </mc:Choice>
  </mc:AlternateContent>
  <xr:revisionPtr revIDLastSave="0" documentId="13_ncr:1_{5184B431-2277-FA4A-A419-32B7A257139F}" xr6:coauthVersionLast="47" xr6:coauthVersionMax="47" xr10:uidLastSave="{00000000-0000-0000-0000-000000000000}"/>
  <bookViews>
    <workbookView xWindow="12860" yWindow="2720" windowWidth="35960" windowHeight="24980" tabRatio="500" activeTab="7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D7" i="18"/>
  <c r="D7" i="12"/>
  <c r="D8" i="1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<sst xmlns="http://schemas.openxmlformats.org/spreadsheetml/2006/main" count="249" uniqueCount="76">
  <si>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</si>
  <si>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</si>
  <si>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</si>
  <si>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</si>
  <si>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</si>
  <si>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</si>
  <si>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</si>
  <si>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</si>
  <si>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</si>
  <si>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</si>
  <si>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</si>
  <si>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</si>
  <si>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</si>
  <si>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</si>
  <si>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</si>
  <si>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</si>
  <si>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</si>
  <si>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</si>
  <si>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</si>
  <si>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</si>
  <si>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</si>
  <si>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</si>
  <si>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</si>
  <si>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</si>
  <si>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</si>
  <si>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</si>
  <si>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</si>
  <si>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</si>
  <si>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</si>
  <si>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</si>
  <si>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</si>
  <si>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</si>
  <si>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</si>
  <si>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</si>
  <si>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</si>
  <si>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</si>
  <si>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</si>
  <si>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</si>
  <si>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</si>
  <si>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</si>
  <si>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</si>
  <si>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</si>
  <si>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</si>
  <si>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1Password Reference for Projektron</t>
  </si>
  <si>
    <t>Projektron Settings</t>
  </si>
  <si>
    <t>true</t>
  </si>
  <si>
    <t>python3</t>
  </si>
  <si>
    <t>VPN Status</t>
  </si>
  <si>
    <t>Show 1Password Logging</t>
  </si>
  <si>
    <t>Show Browser during execution</t>
  </si>
  <si>
    <t>Jira Settings</t>
  </si>
  <si>
    <t>Fill Out</t>
  </si>
  <si>
    <t>Jira Domain</t>
  </si>
  <si>
    <t>x</t>
  </si>
  <si>
    <t>f.e. https://jira.COMPANY.com</t>
  </si>
  <si>
    <t>Transfer booking text to JIRA</t>
  </si>
  <si>
    <t>false</t>
  </si>
  <si>
    <t>Projektron Domain</t>
  </si>
  <si>
    <t>f.e. https://projektron.COMPANY.com</t>
  </si>
  <si>
    <t>f.e. https://COMPANY.1password.com</t>
  </si>
  <si>
    <t>Entry Name in 1Password for Jira</t>
  </si>
  <si>
    <t>Entry Name in 1Password for Projektron</t>
  </si>
  <si>
    <t>Projektron</t>
  </si>
  <si>
    <t>Last Modified</t>
  </si>
  <si>
    <t>Status</t>
  </si>
  <si>
    <t>will be generated</t>
  </si>
  <si>
    <t>User Locale</t>
  </si>
  <si>
    <t>will be fetched</t>
  </si>
  <si>
    <t>Jira</t>
  </si>
  <si>
    <t>Fills Jira Description in column D</t>
  </si>
  <si>
    <t>Autocomplete Jira Ticket description</t>
  </si>
  <si>
    <t>Transfer the comment to jira ticket</t>
  </si>
  <si>
    <t xml:space="preserve"> </t>
  </si>
  <si>
    <t>ProJi Repo</t>
  </si>
  <si>
    <t>Enable Automatic Update Fetching after Startup</t>
  </si>
  <si>
    <t>display a popup if new updates are there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</si>
</sst>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2" fillId="15" borderId="1" xfId="0" applyFont="1" applyFill="1" applyBorder="1"/>
    <xf numFmtId="0" fontId="0" fillId="0" borderId="1" xfId="0" applyBorder="1"/>
    <xf numFmtId="20" fontId="0" fillId="9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7" borderId="1" xfId="0" applyFill="1" applyBorder="1"/>
    <xf numFmtId="0" fontId="1" fillId="17" borderId="1" xfId="0" applyFont="1" applyFill="1" applyBorder="1"/>
    <xf numFmtId="20" fontId="0" fillId="17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0" fillId="18" borderId="10" xfId="0" applyFont="1" applyFill="1" applyBorder="1"/>
    <xf numFmtId="20" fontId="0" fillId="3" borderId="10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8" fillId="0" borderId="1" xfId="1" applyBorder="1"/>
    <xf numFmtId="21" fontId="0" fillId="15" borderId="0" xfId="0" applyNumberFormat="1" applyFill="1"/>
    <xf numFmtId="0" fontId="0" fillId="15" borderId="1" xfId="0" applyFill="1" applyBorder="1"/>
    <xf numFmtId="0" fontId="1" fillId="19" borderId="1" xfId="0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1" xfId="0" applyFont="1" applyBorder="1"/>
    <xf numFmtId="0" fontId="13" fillId="0" borderId="11" xfId="0" applyFont="1" applyBorder="1" applyAlignment="1">
      <alignment horizontal="center"/>
    </xf>
    <xf numFmtId="0" fontId="13" fillId="0" borderId="11" xfId="0" applyFont="1" applyBorder="1"/>
    <xf numFmtId="0" fontId="1" fillId="1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1" fillId="12" borderId="1" xfId="0" applyFont="1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26"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F7D00"/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12700</xdr:rowOff>
        </xdr:from>
        <xdr:to>
          <xdr:col>3</xdr:col>
          <xdr:colOff>1308100</xdr:colOff>
          <xdr:row>1</xdr:row>
          <xdr:rowOff>254000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7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my tickets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(not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1</xdr:col>
          <xdr:colOff>12700</xdr:colOff>
          <xdr:row>2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7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Projektron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ht="16" customHeight="1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J24">
    <cfRule type="expression" dxfId="125" priority="31">
      <formula>($D$24-$B$4)&gt;0</formula>
    </cfRule>
  </conditionalFormatting>
  <conditionalFormatting sqref="D23">
    <cfRule type="expression" dxfId="124" priority="26">
      <formula>ISERROR(SEARCH("-", $D$23))=TRUE</formula>
    </cfRule>
  </conditionalFormatting>
  <conditionalFormatting sqref="K24:L24">
    <cfRule type="expression" dxfId="123" priority="24">
      <formula>($D$24-$B$4)&gt;0</formula>
    </cfRule>
  </conditionalFormatting>
  <conditionalFormatting sqref="L7:L21">
    <cfRule type="containsText" dxfId="122" priority="8" operator="containsText" text="in progress">
      <formula>NOT(ISERROR(SEARCH("in progress",L7)))</formula>
    </cfRule>
    <cfRule type="containsText" dxfId="121" priority="10" operator="containsText" text="passt nicht">
      <formula>NOT(ISERROR(SEARCH("passt nicht",L7)))</formula>
    </cfRule>
    <cfRule type="containsText" dxfId="120" priority="11" operator="containsText" text="Fehler">
      <formula>NOT(ISERROR(SEARCH("Fehler",L7)))</formula>
    </cfRule>
    <cfRule type="containsText" dxfId="119" priority="12" operator="containsText" text="passt">
      <formula>NOT(ISERROR(SEARCH("passt",L7)))</formula>
    </cfRule>
    <cfRule type="containsText" dxfId="118" priority="7" operator="containsText" text="behind">
      <formula>NOT(ISERROR(SEARCH("behind",L7)))</formula>
    </cfRule>
    <cfRule type="containsText" dxfId="117" priority="13" operator="containsText" text="latest">
      <formula>NOT(ISERROR(SEARCH("latest",L7)))</formula>
    </cfRule>
  </conditionalFormatting>
  <conditionalFormatting sqref="A7:A21">
    <cfRule type="expression" dxfId="116" priority="9">
      <formula>AND(C7&lt;&gt;"",A7="")</formula>
    </cfRule>
  </conditionalFormatting>
  <conditionalFormatting sqref="K7:K21">
    <cfRule type="containsText" dxfId="115" priority="1" operator="containsText" text="behind">
      <formula>NOT(ISERROR(SEARCH("behind",K7)))</formula>
    </cfRule>
    <cfRule type="containsText" dxfId="114" priority="2" operator="containsText" text="in progress">
      <formula>NOT(ISERROR(SEARCH("in progress",K7)))</formula>
    </cfRule>
    <cfRule type="containsText" dxfId="113" priority="3" operator="containsText" text="passt nicht">
      <formula>NOT(ISERROR(SEARCH("passt nicht",K7)))</formula>
    </cfRule>
    <cfRule type="containsText" dxfId="112" priority="4" operator="containsText" text="Fehler">
      <formula>NOT(ISERROR(SEARCH("Fehler",K7)))</formula>
    </cfRule>
    <cfRule type="containsText" dxfId="111" priority="5" operator="containsText" text="passt">
      <formula>NOT(ISERROR(SEARCH("passt",K7)))</formula>
    </cfRule>
    <cfRule type="containsText" dxfId="110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FE8D84-00DB-F54E-A335-6A884106124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8381D564-BCA9-DD4A-965C-D28F50485EE9}">
          <x14:formula1>
            <xm:f>'VBA-Settings'!$D$4:$D$54</xm:f>
          </x14:formula1>
          <xm:sqref>B7:B21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J24">
    <cfRule type="expression" dxfId="109" priority="41">
      <formula>($D$24-$B$4)&gt;0</formula>
    </cfRule>
  </conditionalFormatting>
  <conditionalFormatting sqref="D23">
    <cfRule type="expression" dxfId="108" priority="36">
      <formula>ISERROR(SEARCH("-", $D$23))=TRUE</formula>
    </cfRule>
  </conditionalFormatting>
  <conditionalFormatting sqref="A9:A21">
    <cfRule type="expression" dxfId="107" priority="30">
      <formula>AND(C9&lt;&gt;"",A9="")</formula>
    </cfRule>
  </conditionalFormatting>
  <conditionalFormatting sqref="K24:L24">
    <cfRule type="expression" dxfId="106" priority="29">
      <formula>($D$24-$B$4)&gt;0</formula>
    </cfRule>
  </conditionalFormatting>
  <conditionalFormatting sqref="A8">
    <cfRule type="expression" dxfId="105" priority="14">
      <formula>AND(C8&lt;&gt;"",A8="")</formula>
    </cfRule>
  </conditionalFormatting>
  <conditionalFormatting sqref="A7">
    <cfRule type="expression" dxfId="104" priority="13">
      <formula>AND(C7&lt;&gt;"",A7="")</formula>
    </cfRule>
  </conditionalFormatting>
  <conditionalFormatting sqref="L7:L21">
    <cfRule type="containsText" dxfId="103" priority="7" operator="containsText" text="behind">
      <formula>NOT(ISERROR(SEARCH("behind",L7)))</formula>
    </cfRule>
    <cfRule type="containsText" dxfId="102" priority="8" operator="containsText" text="in progress">
      <formula>NOT(ISERROR(SEARCH("in progress",L7)))</formula>
    </cfRule>
    <cfRule type="containsText" dxfId="101" priority="9" operator="containsText" text="passt nicht">
      <formula>NOT(ISERROR(SEARCH("passt nicht",L7)))</formula>
    </cfRule>
    <cfRule type="containsText" dxfId="100" priority="10" operator="containsText" text="Fehler">
      <formula>NOT(ISERROR(SEARCH("Fehler",L7)))</formula>
    </cfRule>
    <cfRule type="containsText" dxfId="99" priority="11" operator="containsText" text="passt">
      <formula>NOT(ISERROR(SEARCH("passt",L7)))</formula>
    </cfRule>
    <cfRule type="containsText" dxfId="98" priority="12" operator="containsText" text="latest">
      <formula>NOT(ISERROR(SEARCH("latest",L7)))</formula>
    </cfRule>
  </conditionalFormatting>
  <conditionalFormatting sqref="K7:K21">
    <cfRule type="containsText" dxfId="97" priority="1" operator="containsText" text="behind">
      <formula>NOT(ISERROR(SEARCH("behind",K7)))</formula>
    </cfRule>
    <cfRule type="containsText" dxfId="96" priority="2" operator="containsText" text="in progress">
      <formula>NOT(ISERROR(SEARCH("in progress",K7)))</formula>
    </cfRule>
    <cfRule type="containsText" dxfId="95" priority="3" operator="containsText" text="passt nicht">
      <formula>NOT(ISERROR(SEARCH("passt nicht",K7)))</formula>
    </cfRule>
    <cfRule type="containsText" dxfId="94" priority="4" operator="containsText" text="Fehler">
      <formula>NOT(ISERROR(SEARCH("Fehler",K7)))</formula>
    </cfRule>
    <cfRule type="containsText" dxfId="93" priority="5" operator="containsText" text="passt">
      <formula>NOT(ISERROR(SEARCH("passt",K7)))</formula>
    </cfRule>
    <cfRule type="containsText" dxfId="92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'VBA-Settings'!$B$4:$B$54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43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J24">
    <cfRule type="expression" dxfId="91" priority="50">
      <formula>($D$24-$B$4)&gt;0</formula>
    </cfRule>
  </conditionalFormatting>
  <conditionalFormatting sqref="D23">
    <cfRule type="expression" dxfId="90" priority="45">
      <formula>ISERROR(SEARCH("-", $D$23))=TRUE</formula>
    </cfRule>
  </conditionalFormatting>
  <conditionalFormatting sqref="A8:A10 A12:A21">
    <cfRule type="expression" dxfId="89" priority="30">
      <formula>AND(C8&lt;&gt;"",A8="")</formula>
    </cfRule>
  </conditionalFormatting>
  <conditionalFormatting sqref="K24:L24">
    <cfRule type="expression" dxfId="88" priority="29">
      <formula>($D$24-$B$4)&gt;0</formula>
    </cfRule>
  </conditionalFormatting>
  <conditionalFormatting sqref="A11">
    <cfRule type="expression" dxfId="87" priority="14">
      <formula>AND(C11&lt;&gt;"",A11="")</formula>
    </cfRule>
  </conditionalFormatting>
  <conditionalFormatting sqref="A7">
    <cfRule type="expression" dxfId="86" priority="13">
      <formula>AND(C7&lt;&gt;"",A7="")</formula>
    </cfRule>
  </conditionalFormatting>
  <conditionalFormatting sqref="L7:L21">
    <cfRule type="containsText" dxfId="85" priority="7" operator="containsText" text="behind">
      <formula>NOT(ISERROR(SEARCH("behind",L7)))</formula>
    </cfRule>
    <cfRule type="containsText" dxfId="84" priority="8" operator="containsText" text="in progress">
      <formula>NOT(ISERROR(SEARCH("in progress",L7)))</formula>
    </cfRule>
    <cfRule type="containsText" dxfId="83" priority="9" operator="containsText" text="passt nicht">
      <formula>NOT(ISERROR(SEARCH("passt nicht",L7)))</formula>
    </cfRule>
    <cfRule type="containsText" dxfId="82" priority="10" operator="containsText" text="Fehler">
      <formula>NOT(ISERROR(SEARCH("Fehler",L7)))</formula>
    </cfRule>
    <cfRule type="containsText" dxfId="81" priority="11" operator="containsText" text="passt">
      <formula>NOT(ISERROR(SEARCH("passt",L7)))</formula>
    </cfRule>
    <cfRule type="containsText" dxfId="80" priority="12" operator="containsText" text="latest">
      <formula>NOT(ISERROR(SEARCH("latest",L7)))</formula>
    </cfRule>
  </conditionalFormatting>
  <conditionalFormatting sqref="K7:K21">
    <cfRule type="containsText" dxfId="79" priority="1" operator="containsText" text="behind">
      <formula>NOT(ISERROR(SEARCH("behind",K7)))</formula>
    </cfRule>
    <cfRule type="containsText" dxfId="78" priority="2" operator="containsText" text="in progress">
      <formula>NOT(ISERROR(SEARCH("in progress",K7)))</formula>
    </cfRule>
    <cfRule type="containsText" dxfId="77" priority="3" operator="containsText" text="passt nicht">
      <formula>NOT(ISERROR(SEARCH("passt nicht",K7)))</formula>
    </cfRule>
    <cfRule type="containsText" dxfId="76" priority="4" operator="containsText" text="Fehler">
      <formula>NOT(ISERROR(SEARCH("Fehler",K7)))</formula>
    </cfRule>
    <cfRule type="containsText" dxfId="75" priority="5" operator="containsText" text="passt">
      <formula>NOT(ISERROR(SEARCH("passt",K7)))</formula>
    </cfRule>
    <cfRule type="containsText" dxfId="74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'VBA-Settings'!$B$4:$B$54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J24">
    <cfRule type="expression" dxfId="73" priority="36">
      <formula>($D$24-$B$4)&gt;0</formula>
    </cfRule>
  </conditionalFormatting>
  <conditionalFormatting sqref="D23">
    <cfRule type="expression" dxfId="72" priority="31">
      <formula>ISERROR(SEARCH("-", $D$23))=TRUE</formula>
    </cfRule>
  </conditionalFormatting>
  <conditionalFormatting sqref="A8 A10:A21">
    <cfRule type="expression" dxfId="71" priority="30">
      <formula>AND(C8&lt;&gt;"",A8="")</formula>
    </cfRule>
  </conditionalFormatting>
  <conditionalFormatting sqref="K24:L24">
    <cfRule type="expression" dxfId="70" priority="29">
      <formula>($D$24-$B$4)&gt;0</formula>
    </cfRule>
  </conditionalFormatting>
  <conditionalFormatting sqref="A9">
    <cfRule type="expression" dxfId="69" priority="14">
      <formula>AND(C9&lt;&gt;"",A9="")</formula>
    </cfRule>
  </conditionalFormatting>
  <conditionalFormatting sqref="A7">
    <cfRule type="expression" dxfId="68" priority="13">
      <formula>AND(C7&lt;&gt;"",A7="")</formula>
    </cfRule>
  </conditionalFormatting>
  <conditionalFormatting sqref="L7:L21">
    <cfRule type="containsText" dxfId="67" priority="7" operator="containsText" text="behind">
      <formula>NOT(ISERROR(SEARCH("behind",L7)))</formula>
    </cfRule>
    <cfRule type="containsText" dxfId="66" priority="8" operator="containsText" text="in progress">
      <formula>NOT(ISERROR(SEARCH("in progress",L7)))</formula>
    </cfRule>
    <cfRule type="containsText" dxfId="65" priority="9" operator="containsText" text="passt nicht">
      <formula>NOT(ISERROR(SEARCH("passt nicht",L7)))</formula>
    </cfRule>
    <cfRule type="containsText" dxfId="64" priority="10" operator="containsText" text="Fehler">
      <formula>NOT(ISERROR(SEARCH("Fehler",L7)))</formula>
    </cfRule>
    <cfRule type="containsText" dxfId="63" priority="11" operator="containsText" text="passt">
      <formula>NOT(ISERROR(SEARCH("passt",L7)))</formula>
    </cfRule>
    <cfRule type="containsText" dxfId="62" priority="12" operator="containsText" text="latest">
      <formula>NOT(ISERROR(SEARCH("latest",L7)))</formula>
    </cfRule>
  </conditionalFormatting>
  <conditionalFormatting sqref="K7:K21">
    <cfRule type="containsText" dxfId="61" priority="1" operator="containsText" text="behind">
      <formula>NOT(ISERROR(SEARCH("behind",K7)))</formula>
    </cfRule>
    <cfRule type="containsText" dxfId="60" priority="2" operator="containsText" text="in progress">
      <formula>NOT(ISERROR(SEARCH("in progress",K7)))</formula>
    </cfRule>
    <cfRule type="containsText" dxfId="59" priority="3" operator="containsText" text="passt nicht">
      <formula>NOT(ISERROR(SEARCH("passt nicht",K7)))</formula>
    </cfRule>
    <cfRule type="containsText" dxfId="58" priority="4" operator="containsText" text="Fehler">
      <formula>NOT(ISERROR(SEARCH("Fehler",K7)))</formula>
    </cfRule>
    <cfRule type="containsText" dxfId="57" priority="5" operator="containsText" text="passt">
      <formula>NOT(ISERROR(SEARCH("passt",K7)))</formula>
    </cfRule>
    <cfRule type="containsText" dxfId="56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AA6A4-7673-934C-9018-EDC691E9F8B2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97F9B41E-D54A-0A47-B8DE-BCBBC217BCFD}">
          <x14:formula1>
            <xm:f>'VBA-Settings'!$B$4:$B$54</xm:f>
          </x14:formula1>
          <xm:sqref>A7:A21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42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8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41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L24">
    <cfRule type="expression" dxfId="55" priority="34">
      <formula>($D$24-$B$4)&gt;0</formula>
    </cfRule>
  </conditionalFormatting>
  <conditionalFormatting sqref="D23">
    <cfRule type="expression" dxfId="54" priority="26">
      <formula>ISERROR(SEARCH("-", $D$23))=TRUE</formula>
    </cfRule>
  </conditionalFormatting>
  <conditionalFormatting sqref="A8:A21">
    <cfRule type="expression" dxfId="53" priority="14">
      <formula>AND(C8&lt;&gt;"",A8="")</formula>
    </cfRule>
  </conditionalFormatting>
  <conditionalFormatting sqref="A7">
    <cfRule type="expression" dxfId="52" priority="13">
      <formula>AND(C7&lt;&gt;"",A7="")</formula>
    </cfRule>
  </conditionalFormatting>
  <conditionalFormatting sqref="L7:L21">
    <cfRule type="containsText" dxfId="51" priority="7" operator="containsText" text="behind">
      <formula>NOT(ISERROR(SEARCH("behind",L7)))</formula>
    </cfRule>
    <cfRule type="containsText" dxfId="50" priority="8" operator="containsText" text="in progress">
      <formula>NOT(ISERROR(SEARCH("in progress",L7)))</formula>
    </cfRule>
    <cfRule type="containsText" dxfId="49" priority="9" operator="containsText" text="passt nicht">
      <formula>NOT(ISERROR(SEARCH("passt nicht",L7)))</formula>
    </cfRule>
    <cfRule type="containsText" dxfId="48" priority="10" operator="containsText" text="Fehler">
      <formula>NOT(ISERROR(SEARCH("Fehler",L7)))</formula>
    </cfRule>
    <cfRule type="containsText" dxfId="47" priority="11" operator="containsText" text="passt">
      <formula>NOT(ISERROR(SEARCH("passt",L7)))</formula>
    </cfRule>
    <cfRule type="containsText" dxfId="46" priority="12" operator="containsText" text="latest">
      <formula>NOT(ISERROR(SEARCH("latest",L7)))</formula>
    </cfRule>
  </conditionalFormatting>
  <conditionalFormatting sqref="K7:K21">
    <cfRule type="containsText" dxfId="45" priority="1" operator="containsText" text="behind">
      <formula>NOT(ISERROR(SEARCH("behind",K7)))</formula>
    </cfRule>
    <cfRule type="containsText" dxfId="44" priority="2" operator="containsText" text="in progress">
      <formula>NOT(ISERROR(SEARCH("in progress",K7)))</formula>
    </cfRule>
    <cfRule type="containsText" dxfId="43" priority="3" operator="containsText" text="passt nicht">
      <formula>NOT(ISERROR(SEARCH("passt nicht",K7)))</formula>
    </cfRule>
    <cfRule type="containsText" dxfId="42" priority="4" operator="containsText" text="Fehler">
      <formula>NOT(ISERROR(SEARCH("Fehler",K7)))</formula>
    </cfRule>
    <cfRule type="containsText" dxfId="41" priority="5" operator="containsText" text="passt">
      <formula>NOT(ISERROR(SEARCH("passt",K7)))</formula>
    </cfRule>
    <cfRule type="containsText" dxfId="40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2B91DC-9E46-5C40-99E3-4F616278E987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F05437DC-F7B9-F24A-8391-B908391BFB0F}">
          <x14:formula1>
            <xm:f>'VBA-Settings'!$D$4:$D$54</xm:f>
          </x14:formula1>
          <xm:sqref>B7:B21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J24">
    <cfRule type="expression" dxfId="39" priority="37">
      <formula>($D$24-$B$4)&gt;0</formula>
    </cfRule>
  </conditionalFormatting>
  <conditionalFormatting sqref="D23">
    <cfRule type="expression" dxfId="38" priority="32">
      <formula>ISERROR(SEARCH("-", $D$23))=TRUE</formula>
    </cfRule>
  </conditionalFormatting>
  <conditionalFormatting sqref="A8:A21">
    <cfRule type="expression" dxfId="37" priority="29">
      <formula>AND(C8&lt;&gt;"",A8="")</formula>
    </cfRule>
  </conditionalFormatting>
  <conditionalFormatting sqref="K24:L24">
    <cfRule type="expression" dxfId="36" priority="28">
      <formula>($D$24-$B$4)&gt;0</formula>
    </cfRule>
  </conditionalFormatting>
  <conditionalFormatting sqref="A7:A21">
    <cfRule type="expression" dxfId="35" priority="13">
      <formula>AND(C7&lt;&gt;"",A7="")</formula>
    </cfRule>
  </conditionalFormatting>
  <conditionalFormatting sqref="L7:L21">
    <cfRule type="containsText" dxfId="34" priority="7" operator="containsText" text="behind">
      <formula>NOT(ISERROR(SEARCH("behind",L7)))</formula>
    </cfRule>
    <cfRule type="containsText" dxfId="33" priority="8" operator="containsText" text="in progress">
      <formula>NOT(ISERROR(SEARCH("in progress",L7)))</formula>
    </cfRule>
    <cfRule type="containsText" dxfId="32" priority="9" operator="containsText" text="passt nicht">
      <formula>NOT(ISERROR(SEARCH("passt nicht",L7)))</formula>
    </cfRule>
    <cfRule type="containsText" dxfId="31" priority="10" operator="containsText" text="Fehler">
      <formula>NOT(ISERROR(SEARCH("Fehler",L7)))</formula>
    </cfRule>
    <cfRule type="containsText" dxfId="30" priority="11" operator="containsText" text="passt">
      <formula>NOT(ISERROR(SEARCH("passt",L7)))</formula>
    </cfRule>
    <cfRule type="containsText" dxfId="29" priority="12" operator="containsText" text="latest">
      <formula>NOT(ISERROR(SEARCH("latest",L7)))</formula>
    </cfRule>
  </conditionalFormatting>
  <conditionalFormatting sqref="K7:K21">
    <cfRule type="containsText" dxfId="28" priority="1" operator="containsText" text="behind">
      <formula>NOT(ISERROR(SEARCH("behind",K7)))</formula>
    </cfRule>
    <cfRule type="containsText" dxfId="27" priority="2" operator="containsText" text="in progress">
      <formula>NOT(ISERROR(SEARCH("in progress",K7)))</formula>
    </cfRule>
    <cfRule type="containsText" dxfId="26" priority="3" operator="containsText" text="passt nicht">
      <formula>NOT(ISERROR(SEARCH("passt nicht",K7)))</formula>
    </cfRule>
    <cfRule type="containsText" dxfId="25" priority="4" operator="containsText" text="Fehler">
      <formula>NOT(ISERROR(SEARCH("Fehler",K7)))</formula>
    </cfRule>
    <cfRule type="containsText" dxfId="24" priority="5" operator="containsText" text="passt">
      <formula>NOT(ISERROR(SEARCH("passt",K7)))</formula>
    </cfRule>
    <cfRule type="containsText" dxfId="23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786833-EE76-5141-A480-7E63E92CD3A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303BE85B-DD28-7E43-9EF6-085B81DE7C84}">
          <x14:formula1>
            <xm:f>'VBA-Settings'!$B$4:$B$54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6" t="s">
        <v>15</v>
      </c>
      <c r="L1" s="57"/>
    </row>
    <row r="2" spans="1:14" x14ac:dyDescent="0.2">
      <c r="A2" s="38" t="s">
        <v>16</v>
      </c>
      <c r="B2" s="31"/>
      <c r="C2" s="30"/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8" t="s">
        <v>29</v>
      </c>
      <c r="F6" s="58"/>
      <c r="G6" s="58"/>
      <c r="H6" s="58"/>
      <c r="I6" s="58"/>
      <c r="J6" s="58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13:10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9" t="s">
        <v>32</v>
      </c>
      <c r="F26" s="59"/>
      <c r="G26" s="59"/>
      <c r="H26" s="59"/>
      <c r="I26" s="59"/>
      <c r="J26" s="59"/>
      <c r="K26" s="59"/>
      <c r="L26" s="59"/>
    </row>
    <row r="27" spans="1:14" ht="16" customHeight="1" x14ac:dyDescent="0.2">
      <c r="E27" s="60"/>
      <c r="F27" s="60"/>
      <c r="G27" s="60"/>
      <c r="H27" s="60"/>
      <c r="I27" s="60"/>
      <c r="J27" s="60"/>
      <c r="K27" s="60"/>
      <c r="L27" s="60"/>
    </row>
    <row r="28" spans="1:14" x14ac:dyDescent="0.2">
      <c r="D28" s="16"/>
      <c r="E28" s="61"/>
      <c r="F28" s="61"/>
      <c r="G28" s="61"/>
      <c r="H28" s="61"/>
      <c r="I28" s="61"/>
      <c r="J28" s="61"/>
      <c r="K28" s="61"/>
      <c r="L28" s="61"/>
    </row>
    <row r="29" spans="1:14" x14ac:dyDescent="0.2">
      <c r="E29" s="61"/>
      <c r="F29" s="61"/>
      <c r="G29" s="61"/>
      <c r="H29" s="61"/>
      <c r="I29" s="61"/>
      <c r="J29" s="61"/>
      <c r="K29" s="61"/>
      <c r="L29" s="61"/>
    </row>
    <row r="30" spans="1:14" x14ac:dyDescent="0.2">
      <c r="E30" s="61"/>
      <c r="F30" s="61"/>
      <c r="G30" s="61"/>
      <c r="H30" s="61"/>
      <c r="I30" s="61"/>
      <c r="J30" s="61"/>
      <c r="K30" s="61"/>
      <c r="L30" s="61"/>
    </row>
    <row r="31" spans="1:14" x14ac:dyDescent="0.2">
      <c r="E31" s="61"/>
      <c r="F31" s="61"/>
      <c r="G31" s="61"/>
      <c r="H31" s="61"/>
      <c r="I31" s="61"/>
      <c r="J31" s="61"/>
      <c r="K31" s="61"/>
      <c r="L31" s="61"/>
    </row>
    <row r="32" spans="1:14" x14ac:dyDescent="0.2">
      <c r="E32" s="61"/>
      <c r="F32" s="61"/>
      <c r="G32" s="61"/>
      <c r="H32" s="61"/>
      <c r="I32" s="61"/>
      <c r="J32" s="61"/>
      <c r="K32" s="61"/>
      <c r="L32" s="61"/>
    </row>
    <row r="33" spans="4:15" x14ac:dyDescent="0.2">
      <c r="D33" s="16"/>
      <c r="E33" s="61"/>
      <c r="F33" s="61"/>
      <c r="G33" s="61"/>
      <c r="H33" s="61"/>
      <c r="I33" s="61"/>
      <c r="J33" s="61"/>
      <c r="K33" s="61"/>
      <c r="L33" s="61"/>
    </row>
    <row r="34" spans="4:15" x14ac:dyDescent="0.2">
      <c r="D34" s="17"/>
      <c r="E34" s="61"/>
      <c r="F34" s="61"/>
      <c r="G34" s="61"/>
      <c r="H34" s="61"/>
      <c r="I34" s="61"/>
      <c r="J34" s="61"/>
      <c r="K34" s="61"/>
      <c r="L34" s="61"/>
    </row>
    <row r="35" spans="4:15" x14ac:dyDescent="0.2">
      <c r="E35" s="61"/>
      <c r="F35" s="61"/>
      <c r="G35" s="61"/>
      <c r="H35" s="61"/>
      <c r="I35" s="61"/>
      <c r="J35" s="61"/>
      <c r="K35" s="61"/>
      <c r="L35" s="61"/>
    </row>
    <row r="36" spans="4:15" x14ac:dyDescent="0.2">
      <c r="E36" s="61"/>
      <c r="F36" s="61"/>
      <c r="G36" s="61"/>
      <c r="H36" s="61"/>
      <c r="I36" s="61"/>
      <c r="J36" s="61"/>
      <c r="K36" s="61"/>
      <c r="L36" s="61"/>
      <c r="O36" s="20"/>
    </row>
    <row r="37" spans="4:15" x14ac:dyDescent="0.2">
      <c r="E37" s="61"/>
      <c r="F37" s="61"/>
      <c r="G37" s="61"/>
      <c r="H37" s="61"/>
      <c r="I37" s="61"/>
      <c r="J37" s="61"/>
      <c r="K37" s="61"/>
      <c r="L37" s="61"/>
    </row>
    <row r="38" spans="4:15" x14ac:dyDescent="0.2">
      <c r="E38" s="61"/>
      <c r="F38" s="61"/>
      <c r="G38" s="61"/>
      <c r="H38" s="61"/>
      <c r="I38" s="61"/>
      <c r="J38" s="61"/>
      <c r="K38" s="61"/>
      <c r="L38" s="61"/>
    </row>
    <row r="39" spans="4:15" x14ac:dyDescent="0.2">
      <c r="E39" s="61"/>
      <c r="F39" s="61"/>
      <c r="G39" s="61"/>
      <c r="H39" s="61"/>
      <c r="I39" s="61"/>
      <c r="J39" s="61"/>
      <c r="K39" s="61"/>
      <c r="L39" s="61"/>
    </row>
    <row r="40" spans="4:15" x14ac:dyDescent="0.2">
      <c r="E40" s="61"/>
      <c r="F40" s="61"/>
      <c r="G40" s="61"/>
      <c r="H40" s="61"/>
      <c r="I40" s="61"/>
      <c r="J40" s="61"/>
      <c r="K40" s="61"/>
      <c r="L40" s="61"/>
    </row>
    <row r="41" spans="4:15" x14ac:dyDescent="0.2">
      <c r="E41" s="61"/>
      <c r="F41" s="61"/>
      <c r="G41" s="61"/>
      <c r="H41" s="61"/>
      <c r="I41" s="61"/>
      <c r="J41" s="61"/>
      <c r="K41" s="61"/>
      <c r="L41" s="61"/>
    </row>
    <row r="42" spans="4:15" x14ac:dyDescent="0.2">
      <c r="E42" s="61"/>
      <c r="F42" s="61"/>
      <c r="G42" s="61"/>
      <c r="H42" s="61"/>
      <c r="I42" s="61"/>
      <c r="J42" s="61"/>
      <c r="K42" s="61"/>
      <c r="L42" s="61"/>
    </row>
    <row r="43" spans="4:15" x14ac:dyDescent="0.2">
      <c r="E43" s="61"/>
      <c r="F43" s="61"/>
      <c r="G43" s="61"/>
      <c r="H43" s="61"/>
      <c r="I43" s="61"/>
      <c r="J43" s="61"/>
      <c r="K43" s="61"/>
      <c r="L43" s="61"/>
    </row>
    <row r="44" spans="4:15" x14ac:dyDescent="0.2">
      <c r="E44" s="61"/>
      <c r="F44" s="61"/>
      <c r="G44" s="61"/>
      <c r="H44" s="61"/>
      <c r="I44" s="61"/>
      <c r="J44" s="61"/>
      <c r="K44" s="61"/>
      <c r="L44" s="61"/>
    </row>
    <row r="45" spans="4:15" x14ac:dyDescent="0.2">
      <c r="E45" s="61"/>
      <c r="F45" s="61"/>
      <c r="G45" s="61"/>
      <c r="H45" s="61"/>
      <c r="I45" s="61"/>
      <c r="J45" s="61"/>
      <c r="K45" s="61"/>
      <c r="L45" s="61"/>
    </row>
    <row r="46" spans="4:15" x14ac:dyDescent="0.2">
      <c r="E46" s="61"/>
      <c r="F46" s="61"/>
      <c r="G46" s="61"/>
      <c r="H46" s="61"/>
      <c r="I46" s="61"/>
      <c r="J46" s="61"/>
      <c r="K46" s="61"/>
      <c r="L46" s="61"/>
    </row>
    <row r="47" spans="4:15" x14ac:dyDescent="0.2">
      <c r="E47" s="61"/>
      <c r="F47" s="61"/>
      <c r="G47" s="61"/>
      <c r="H47" s="61"/>
      <c r="I47" s="61"/>
      <c r="J47" s="61"/>
      <c r="K47" s="61"/>
      <c r="L47" s="61"/>
    </row>
    <row r="48" spans="4:15" x14ac:dyDescent="0.2">
      <c r="E48" s="61"/>
      <c r="F48" s="61"/>
      <c r="G48" s="61"/>
      <c r="H48" s="61"/>
      <c r="I48" s="61"/>
      <c r="J48" s="61"/>
      <c r="K48" s="61"/>
      <c r="L48" s="61"/>
    </row>
  </sheetData>
  <mergeCells count="4">
    <mergeCell ref="K1:L1"/>
    <mergeCell ref="E6:J6"/>
    <mergeCell ref="E26:L26"/>
    <mergeCell ref="E27:L48"/>
  </mergeCells>
  <conditionalFormatting sqref="A24:J24">
    <cfRule type="expression" dxfId="22" priority="38">
      <formula>($D$24-$B$4)&gt;0</formula>
    </cfRule>
  </conditionalFormatting>
  <conditionalFormatting sqref="D23">
    <cfRule type="expression" dxfId="21" priority="33">
      <formula>ISERROR(SEARCH("-", $D$23))=TRUE</formula>
    </cfRule>
  </conditionalFormatting>
  <conditionalFormatting sqref="K24:L24">
    <cfRule type="expression" dxfId="20" priority="29">
      <formula>($D$24-$B$4)&gt;0</formula>
    </cfRule>
  </conditionalFormatting>
  <conditionalFormatting sqref="A8:A21">
    <cfRule type="expression" dxfId="19" priority="14">
      <formula>AND(C8&lt;&gt;"",A8="")</formula>
    </cfRule>
  </conditionalFormatting>
  <conditionalFormatting sqref="A7:A21">
    <cfRule type="expression" dxfId="18" priority="13">
      <formula>AND(C7&lt;&gt;"",A7="")</formula>
    </cfRule>
  </conditionalFormatting>
  <conditionalFormatting sqref="L7:L21">
    <cfRule type="containsText" dxfId="17" priority="7" operator="containsText" text="behind">
      <formula>NOT(ISERROR(SEARCH("behind",L7)))</formula>
    </cfRule>
    <cfRule type="containsText" dxfId="16" priority="8" operator="containsText" text="in progress">
      <formula>NOT(ISERROR(SEARCH("in progress",L7)))</formula>
    </cfRule>
    <cfRule type="containsText" dxfId="15" priority="9" operator="containsText" text="passt nicht">
      <formula>NOT(ISERROR(SEARCH("passt nicht",L7)))</formula>
    </cfRule>
    <cfRule type="containsText" dxfId="14" priority="10" operator="containsText" text="Fehler">
      <formula>NOT(ISERROR(SEARCH("Fehler",L7)))</formula>
    </cfRule>
    <cfRule type="containsText" dxfId="13" priority="11" operator="containsText" text="passt">
      <formula>NOT(ISERROR(SEARCH("passt",L7)))</formula>
    </cfRule>
    <cfRule type="containsText" dxfId="12" priority="12" operator="containsText" text="latest">
      <formula>NOT(ISERROR(SEARCH("latest",L7)))</formula>
    </cfRule>
  </conditionalFormatting>
  <conditionalFormatting sqref="K7:K21">
    <cfRule type="containsText" dxfId="11" priority="1" operator="containsText" text="behind">
      <formula>NOT(ISERROR(SEARCH("behind",K7)))</formula>
    </cfRule>
    <cfRule type="containsText" dxfId="10" priority="2" operator="containsText" text="in progress">
      <formula>NOT(ISERROR(SEARCH("in progress",K7)))</formula>
    </cfRule>
    <cfRule type="containsText" dxfId="9" priority="3" operator="containsText" text="passt nicht">
      <formula>NOT(ISERROR(SEARCH("passt nicht",K7)))</formula>
    </cfRule>
    <cfRule type="containsText" dxfId="8" priority="4" operator="containsText" text="Fehler">
      <formula>NOT(ISERROR(SEARCH("Fehler",K7)))</formula>
    </cfRule>
    <cfRule type="containsText" dxfId="7" priority="5" operator="containsText" text="passt">
      <formula>NOT(ISERROR(SEARCH("passt",K7)))</formula>
    </cfRule>
    <cfRule type="containsText" dxfId="6" priority="6" operator="containsText" text="latest">
      <formula>NOT(ISERROR(SEARCH("latest",K7)))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066F75-4904-184C-9406-4FA7936C466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6C889420-98C1-FD46-86C0-2F6118B3F3D6}">
          <x14:formula1>
            <xm:f>'VBA-Settings'!$D$4:$D$54</xm:f>
          </x14:formula1>
          <xm:sqref>B7:B21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54"/>
  <sheetViews>
    <sheetView tabSelected="1" workbookViewId="0">
      <selection activeCell="F25" sqref="F25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3" max="3" width="13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0.83203125" bestFit="1" customWidth="1"/>
    <col min="9" max="9" width="10.83203125" customWidth="1"/>
    <col min="10" max="10" width="34.5" bestFit="1" customWidth="1"/>
    <col min="11" max="11" width="12.33203125" bestFit="1" customWidth="1"/>
  </cols>
  <sheetData>
    <row r="1" spans="1:12" x14ac:dyDescent="0.2">
      <c r="C1" s="29" t="s">
        <v>47</v>
      </c>
    </row>
    <row r="2" spans="1:12" ht="21" x14ac:dyDescent="0.25">
      <c r="A2" s="50"/>
      <c r="B2" s="49" t="s">
        <v>62</v>
      </c>
      <c r="C2" s="30"/>
      <c r="D2" s="52"/>
      <c r="E2" s="51" t="s">
        <v>68</v>
      </c>
      <c r="G2" s="62" t="s">
        <v>37</v>
      </c>
      <c r="H2" s="63"/>
      <c r="I2" s="21" t="s">
        <v>51</v>
      </c>
      <c r="J2" s="21" t="s">
        <v>38</v>
      </c>
      <c r="K2" s="21" t="s">
        <v>63</v>
      </c>
      <c r="L2" s="53" t="s">
        <v>64</v>
      </c>
    </row>
    <row r="3" spans="1:12" x14ac:dyDescent="0.2">
      <c r="A3" s="48" t="s">
        <v>33</v>
      </c>
      <c r="B3" s="48" t="s">
        <v>34</v>
      </c>
      <c r="C3" t="s">
        <v>72</v>
      </c>
      <c r="D3" s="48" t="s">
        <v>35</v>
      </c>
      <c r="E3" s="48" t="s">
        <v>36</v>
      </c>
      <c r="G3" s="24" t="s">
        <v>39</v>
      </c>
      <c r="H3" s="25"/>
      <c r="I3" s="24" t="s">
        <v>53</v>
      </c>
      <c r="J3" s="24" t="s">
        <v>59</v>
      </c>
      <c r="K3" s="24"/>
      <c r="L3" s="24"/>
    </row>
    <row r="4" spans="1:12" x14ac:dyDescent="0.2">
      <c r="A4" s="23"/>
      <c r="B4" s="23"/>
      <c r="C4" t="s">
        <v>72</v>
      </c>
      <c r="D4" s="22"/>
      <c r="E4" s="22"/>
      <c r="G4" s="24" t="s">
        <v>40</v>
      </c>
      <c r="H4" s="25"/>
      <c r="I4" s="24" t="s">
        <v>53</v>
      </c>
      <c r="J4" s="24"/>
      <c r="K4" s="24"/>
      <c r="L4" s="24"/>
    </row>
    <row r="5" spans="1:12" x14ac:dyDescent="0.2">
      <c r="A5" s="23"/>
      <c r="B5" s="23"/>
      <c r="C5" t="s">
        <v>72</v>
      </c>
      <c r="D5" s="23"/>
      <c r="E5" s="22"/>
      <c r="G5" s="24" t="s">
        <v>41</v>
      </c>
      <c r="H5" s="27"/>
      <c r="I5" s="47"/>
      <c r="J5" s="47" t="s">
        <v>65</v>
      </c>
      <c r="K5" s="46"/>
      <c r="L5" s="47"/>
    </row>
    <row r="6" spans="1:12" x14ac:dyDescent="0.2">
      <c r="A6" s="23"/>
      <c r="B6" s="23"/>
      <c r="C6" t="s">
        <v>72</v>
      </c>
      <c r="D6" s="22"/>
      <c r="E6" s="22"/>
      <c r="G6" s="24" t="s">
        <v>42</v>
      </c>
      <c r="H6" s="26"/>
      <c r="I6" s="24" t="s">
        <v>53</v>
      </c>
      <c r="J6" s="24" t="s">
        <v>60</v>
      </c>
      <c r="K6" s="24"/>
      <c r="L6" s="24"/>
    </row>
    <row r="7" spans="1:12" x14ac:dyDescent="0.2">
      <c r="A7" s="23"/>
      <c r="B7" s="23"/>
      <c r="C7" t="s">
        <v>72</v>
      </c>
      <c r="D7" s="23"/>
      <c r="E7" s="22"/>
      <c r="G7" s="24" t="s">
        <v>43</v>
      </c>
      <c r="H7" s="26"/>
      <c r="I7" s="24" t="s">
        <v>53</v>
      </c>
      <c r="J7" s="24" t="s">
        <v>61</v>
      </c>
      <c r="K7" s="24"/>
      <c r="L7" s="24"/>
    </row>
    <row r="8" spans="1:12" x14ac:dyDescent="0.2">
      <c r="A8" s="23"/>
      <c r="B8" s="23"/>
      <c r="C8" t="s">
        <v>72</v>
      </c>
      <c r="D8" s="23"/>
      <c r="E8" s="22"/>
    </row>
    <row r="9" spans="1:12" x14ac:dyDescent="0.2">
      <c r="A9" s="23"/>
      <c r="B9" s="23"/>
      <c r="C9" t="s">
        <v>72</v>
      </c>
      <c r="D9" s="23"/>
      <c r="E9" s="22"/>
    </row>
    <row r="10" spans="1:12" x14ac:dyDescent="0.2">
      <c r="A10" s="23"/>
      <c r="B10" s="23"/>
      <c r="C10" t="s">
        <v>72</v>
      </c>
      <c r="D10" s="23"/>
      <c r="E10" s="22"/>
    </row>
    <row r="11" spans="1:12" x14ac:dyDescent="0.2">
      <c r="A11" s="23"/>
      <c r="B11" s="23"/>
      <c r="C11" t="s">
        <v>72</v>
      </c>
      <c r="D11" s="23"/>
      <c r="E11" s="22"/>
      <c r="G11" s="64" t="s">
        <v>50</v>
      </c>
      <c r="H11" s="64"/>
      <c r="I11" s="21" t="s">
        <v>51</v>
      </c>
      <c r="J11" s="55" t="s">
        <v>38</v>
      </c>
    </row>
    <row r="12" spans="1:12" x14ac:dyDescent="0.2">
      <c r="A12" s="23"/>
      <c r="B12" s="23"/>
      <c r="C12" t="s">
        <v>72</v>
      </c>
      <c r="D12" s="23"/>
      <c r="E12" s="22"/>
      <c r="G12" s="24" t="s">
        <v>52</v>
      </c>
      <c r="I12" s="24" t="s">
        <v>53</v>
      </c>
      <c r="J12" s="24" t="s">
        <v>54</v>
      </c>
    </row>
    <row r="13" spans="1:12" x14ac:dyDescent="0.2">
      <c r="A13" s="23"/>
      <c r="B13" s="23"/>
      <c r="C13" t="s">
        <v>72</v>
      </c>
      <c r="D13" s="23"/>
      <c r="E13" s="22"/>
      <c r="G13" s="24" t="s">
        <v>70</v>
      </c>
      <c r="H13" s="44" t="s">
        <v>45</v>
      </c>
      <c r="I13" s="24"/>
      <c r="J13" s="24" t="s">
        <v>69</v>
      </c>
    </row>
    <row r="14" spans="1:12" x14ac:dyDescent="0.2">
      <c r="A14" s="23"/>
      <c r="B14" s="23"/>
      <c r="C14" t="s">
        <v>72</v>
      </c>
      <c r="D14" s="23"/>
      <c r="E14" s="22"/>
      <c r="G14" s="24" t="s">
        <v>55</v>
      </c>
      <c r="H14" s="44" t="s">
        <v>56</v>
      </c>
      <c r="I14" s="24"/>
      <c r="J14" s="24" t="s">
        <v>71</v>
      </c>
    </row>
    <row r="15" spans="1:12" x14ac:dyDescent="0.2">
      <c r="A15" s="23"/>
      <c r="B15" s="23"/>
      <c r="C15" t="s">
        <v>72</v>
      </c>
      <c r="D15" s="23"/>
      <c r="E15" s="22"/>
    </row>
    <row r="16" spans="1:12" x14ac:dyDescent="0.2">
      <c r="A16" s="23"/>
      <c r="B16" s="23"/>
      <c r="C16" t="s">
        <v>72</v>
      </c>
      <c r="D16" s="23"/>
      <c r="E16" s="22"/>
      <c r="G16" s="64" t="s">
        <v>44</v>
      </c>
      <c r="H16" s="64"/>
      <c r="I16" s="21" t="s">
        <v>51</v>
      </c>
      <c r="J16" s="21" t="s">
        <v>38</v>
      </c>
    </row>
    <row r="17" spans="1:11" x14ac:dyDescent="0.2">
      <c r="A17" s="23"/>
      <c r="B17" s="23"/>
      <c r="C17" t="s">
        <v>72</v>
      </c>
      <c r="D17" s="23"/>
      <c r="E17" s="22"/>
      <c r="G17" s="24" t="s">
        <v>57</v>
      </c>
      <c r="H17" s="45"/>
      <c r="I17" s="24" t="s">
        <v>53</v>
      </c>
      <c r="J17" s="24" t="s">
        <v>58</v>
      </c>
    </row>
    <row r="18" spans="1:11" x14ac:dyDescent="0.2">
      <c r="A18" s="23"/>
      <c r="B18" s="23"/>
      <c r="C18" t="s">
        <v>72</v>
      </c>
      <c r="D18" s="23"/>
      <c r="E18" s="22"/>
      <c r="G18" s="24" t="s">
        <v>49</v>
      </c>
      <c r="H18" s="28" t="s">
        <v>45</v>
      </c>
      <c r="I18" s="24"/>
      <c r="J18" s="24"/>
    </row>
    <row r="19" spans="1:11" x14ac:dyDescent="0.2">
      <c r="A19" s="23"/>
      <c r="B19" s="23"/>
      <c r="C19" t="s">
        <v>72</v>
      </c>
      <c r="D19" s="23"/>
      <c r="E19" s="22"/>
      <c r="G19" s="24" t="s">
        <v>48</v>
      </c>
      <c r="H19" s="28" t="s">
        <v>45</v>
      </c>
      <c r="I19" s="24"/>
      <c r="J19" s="24"/>
    </row>
    <row r="20" spans="1:11" x14ac:dyDescent="0.2">
      <c r="A20" s="23"/>
      <c r="B20" s="23"/>
      <c r="C20" t="s">
        <v>72</v>
      </c>
      <c r="D20" s="23"/>
      <c r="E20" s="22"/>
      <c r="G20" s="24" t="s">
        <v>66</v>
      </c>
      <c r="H20" s="47"/>
      <c r="I20" s="47"/>
      <c r="J20" s="47" t="s">
        <v>67</v>
      </c>
    </row>
    <row r="21" spans="1:11" x14ac:dyDescent="0.2">
      <c r="A21" s="23"/>
      <c r="B21" s="23"/>
      <c r="C21" t="s">
        <v>72</v>
      </c>
      <c r="D21" s="23"/>
      <c r="E21" s="22"/>
    </row>
    <row r="22" spans="1:11" x14ac:dyDescent="0.2">
      <c r="A22" s="23"/>
      <c r="B22" s="23"/>
      <c r="C22" t="s">
        <v>72</v>
      </c>
      <c r="D22" s="23"/>
      <c r="E22" s="22"/>
      <c r="G22" s="64" t="s">
        <v>73</v>
      </c>
      <c r="H22" s="64"/>
      <c r="I22" s="21" t="s">
        <v>51</v>
      </c>
      <c r="J22" s="21" t="s">
        <v>38</v>
      </c>
      <c r="K22" s="53" t="s">
        <v>64</v>
      </c>
    </row>
    <row r="23" spans="1:11" x14ac:dyDescent="0.2">
      <c r="A23" s="23"/>
      <c r="B23" s="23"/>
      <c r="C23" t="s">
        <v>72</v>
      </c>
      <c r="D23" s="23"/>
      <c r="E23" s="22"/>
      <c r="G23" s="24" t="s">
        <v>74</v>
      </c>
      <c r="H23" s="28" t="s">
        <v>45</v>
      </c>
      <c r="I23" s="24"/>
      <c r="J23" s="24" t="s">
        <v>75</v>
      </c>
      <c r="K23" s="54"/>
    </row>
    <row r="24" spans="1:11" x14ac:dyDescent="0.2">
      <c r="A24" s="23"/>
      <c r="B24" s="23"/>
      <c r="C24" t="s">
        <v>72</v>
      </c>
      <c r="D24" s="23"/>
      <c r="E24" s="22"/>
    </row>
    <row r="25" spans="1:11" x14ac:dyDescent="0.2">
      <c r="A25" s="23"/>
      <c r="B25" s="23"/>
      <c r="C25" t="s">
        <v>72</v>
      </c>
      <c r="D25" s="23"/>
      <c r="E25" s="22"/>
    </row>
    <row r="26" spans="1:11" x14ac:dyDescent="0.2">
      <c r="A26" s="23"/>
      <c r="B26" s="23"/>
      <c r="C26" t="s">
        <v>72</v>
      </c>
      <c r="D26" s="23"/>
      <c r="E26" s="22"/>
      <c r="G26" s="65" t="s">
        <v>32</v>
      </c>
      <c r="H26" s="65"/>
      <c r="I26" s="65"/>
      <c r="J26" s="65"/>
    </row>
    <row r="27" spans="1:11" ht="16" customHeight="1" x14ac:dyDescent="0.2">
      <c r="A27" s="23"/>
      <c r="B27" s="23"/>
      <c r="C27" t="s">
        <v>72</v>
      </c>
      <c r="D27" s="23"/>
      <c r="E27" s="22"/>
      <c r="G27" s="60"/>
      <c r="H27" s="60"/>
      <c r="I27" s="60"/>
      <c r="J27" s="60"/>
    </row>
    <row r="28" spans="1:11" x14ac:dyDescent="0.2">
      <c r="A28" s="23"/>
      <c r="B28" s="23"/>
      <c r="C28" t="s">
        <v>72</v>
      </c>
      <c r="D28" s="23"/>
      <c r="E28" s="22"/>
      <c r="G28" s="61"/>
      <c r="H28" s="61"/>
      <c r="I28" s="61"/>
      <c r="J28" s="61"/>
    </row>
    <row r="29" spans="1:11" x14ac:dyDescent="0.2">
      <c r="A29" s="23"/>
      <c r="B29" s="23"/>
      <c r="C29" t="s">
        <v>72</v>
      </c>
      <c r="D29" s="23"/>
      <c r="E29" s="22"/>
      <c r="G29" s="61"/>
      <c r="H29" s="61"/>
      <c r="I29" s="61"/>
      <c r="J29" s="61"/>
    </row>
    <row r="30" spans="1:11" x14ac:dyDescent="0.2">
      <c r="A30" s="23"/>
      <c r="B30" s="23"/>
      <c r="C30" t="s">
        <v>72</v>
      </c>
      <c r="D30" s="23"/>
      <c r="E30" s="22"/>
      <c r="G30" s="61"/>
      <c r="H30" s="61"/>
      <c r="I30" s="61"/>
      <c r="J30" s="61"/>
    </row>
    <row r="31" spans="1:11" x14ac:dyDescent="0.2">
      <c r="A31" s="23"/>
      <c r="B31" s="23"/>
      <c r="C31" t="s">
        <v>72</v>
      </c>
      <c r="D31" s="23"/>
      <c r="E31" s="22"/>
      <c r="G31" s="61"/>
      <c r="H31" s="61"/>
      <c r="I31" s="61"/>
      <c r="J31" s="61"/>
    </row>
    <row r="32" spans="1:11" x14ac:dyDescent="0.2">
      <c r="A32" s="23"/>
      <c r="B32" s="23"/>
      <c r="C32" t="s">
        <v>72</v>
      </c>
      <c r="D32" s="23"/>
      <c r="E32" s="22"/>
      <c r="G32" s="61"/>
      <c r="H32" s="61"/>
      <c r="I32" s="61"/>
      <c r="J32" s="61"/>
    </row>
    <row r="33" spans="1:10" x14ac:dyDescent="0.2">
      <c r="A33" s="23"/>
      <c r="B33" s="23"/>
      <c r="C33" t="s">
        <v>72</v>
      </c>
      <c r="D33" s="23"/>
      <c r="E33" s="22"/>
      <c r="G33" s="61"/>
      <c r="H33" s="61"/>
      <c r="I33" s="61"/>
      <c r="J33" s="61"/>
    </row>
    <row r="34" spans="1:10" x14ac:dyDescent="0.2">
      <c r="A34" s="23"/>
      <c r="B34" s="23"/>
      <c r="C34" t="s">
        <v>72</v>
      </c>
      <c r="D34" s="23"/>
      <c r="E34" s="22"/>
      <c r="G34" s="61"/>
      <c r="H34" s="61"/>
      <c r="I34" s="61"/>
      <c r="J34" s="61"/>
    </row>
    <row r="35" spans="1:10" x14ac:dyDescent="0.2">
      <c r="A35" s="23"/>
      <c r="B35" s="23"/>
      <c r="C35" t="s">
        <v>72</v>
      </c>
      <c r="D35" s="23"/>
      <c r="E35" s="22"/>
      <c r="G35" s="61"/>
      <c r="H35" s="61"/>
      <c r="I35" s="61"/>
      <c r="J35" s="61"/>
    </row>
    <row r="36" spans="1:10" x14ac:dyDescent="0.2">
      <c r="A36" s="23"/>
      <c r="B36" s="23"/>
      <c r="C36" t="s">
        <v>72</v>
      </c>
      <c r="D36" s="23"/>
      <c r="E36" s="22"/>
      <c r="G36" s="61"/>
      <c r="H36" s="61"/>
      <c r="I36" s="61"/>
      <c r="J36" s="61"/>
    </row>
    <row r="37" spans="1:10" x14ac:dyDescent="0.2">
      <c r="A37" s="23"/>
      <c r="B37" s="23"/>
      <c r="C37" t="s">
        <v>72</v>
      </c>
      <c r="D37" s="23"/>
      <c r="E37" s="22"/>
      <c r="G37" s="61"/>
      <c r="H37" s="61"/>
      <c r="I37" s="61"/>
      <c r="J37" s="61"/>
    </row>
    <row r="38" spans="1:10" x14ac:dyDescent="0.2">
      <c r="A38" s="23"/>
      <c r="B38" s="23"/>
      <c r="C38" t="s">
        <v>72</v>
      </c>
      <c r="D38" s="23"/>
      <c r="E38" s="22"/>
      <c r="G38" s="61"/>
      <c r="H38" s="61"/>
      <c r="I38" s="61"/>
      <c r="J38" s="61"/>
    </row>
    <row r="39" spans="1:10" x14ac:dyDescent="0.2">
      <c r="A39" s="23"/>
      <c r="B39" s="23"/>
      <c r="C39" t="s">
        <v>72</v>
      </c>
      <c r="D39" s="23"/>
      <c r="E39" s="22"/>
      <c r="G39" s="61"/>
      <c r="H39" s="61"/>
      <c r="I39" s="61"/>
      <c r="J39" s="61"/>
    </row>
    <row r="40" spans="1:10" x14ac:dyDescent="0.2">
      <c r="A40" s="23"/>
      <c r="B40" s="23"/>
      <c r="D40" s="23"/>
      <c r="E40" s="22"/>
      <c r="G40" s="61"/>
      <c r="H40" s="61"/>
      <c r="I40" s="61"/>
      <c r="J40" s="61"/>
    </row>
    <row r="41" spans="1:10" x14ac:dyDescent="0.2">
      <c r="A41" s="23"/>
      <c r="B41" s="23"/>
      <c r="D41" s="23"/>
      <c r="E41" s="22"/>
      <c r="G41" s="61"/>
      <c r="H41" s="61"/>
      <c r="I41" s="61"/>
      <c r="J41" s="61"/>
    </row>
    <row r="42" spans="1:10" x14ac:dyDescent="0.2">
      <c r="A42" s="23"/>
      <c r="B42" s="23"/>
      <c r="D42" s="23"/>
      <c r="E42" s="22"/>
      <c r="G42" s="61"/>
      <c r="H42" s="61"/>
      <c r="I42" s="61"/>
      <c r="J42" s="61"/>
    </row>
    <row r="43" spans="1:10" x14ac:dyDescent="0.2">
      <c r="A43" s="23"/>
      <c r="B43" s="23"/>
      <c r="D43" s="23"/>
      <c r="E43" s="22"/>
      <c r="G43" s="61"/>
      <c r="H43" s="61"/>
      <c r="I43" s="61"/>
      <c r="J43" s="61"/>
    </row>
    <row r="44" spans="1:10" x14ac:dyDescent="0.2">
      <c r="A44" s="23"/>
      <c r="B44" s="23"/>
      <c r="D44" s="23"/>
      <c r="E44" s="22"/>
      <c r="G44" s="61"/>
      <c r="H44" s="61"/>
      <c r="I44" s="61"/>
      <c r="J44" s="61"/>
    </row>
    <row r="45" spans="1:10" x14ac:dyDescent="0.2">
      <c r="A45" s="23"/>
      <c r="B45" s="23"/>
      <c r="D45" s="23"/>
      <c r="E45" s="22"/>
      <c r="G45" s="61"/>
      <c r="H45" s="61"/>
      <c r="I45" s="61"/>
      <c r="J45" s="61"/>
    </row>
    <row r="46" spans="1:10" x14ac:dyDescent="0.2">
      <c r="A46" s="23"/>
      <c r="B46" s="23"/>
      <c r="D46" s="23"/>
      <c r="E46" s="22"/>
      <c r="G46" s="61"/>
      <c r="H46" s="61"/>
      <c r="I46" s="61"/>
      <c r="J46" s="61"/>
    </row>
    <row r="47" spans="1:10" x14ac:dyDescent="0.2">
      <c r="A47" s="23"/>
      <c r="B47" s="23"/>
      <c r="D47" s="23"/>
      <c r="E47" s="22"/>
      <c r="G47" s="61"/>
      <c r="H47" s="61"/>
      <c r="I47" s="61"/>
      <c r="J47" s="61"/>
    </row>
    <row r="48" spans="1:10" x14ac:dyDescent="0.2">
      <c r="A48" s="23"/>
      <c r="B48" s="23"/>
      <c r="D48" s="23"/>
      <c r="E48" s="22"/>
      <c r="G48" s="61"/>
      <c r="H48" s="61"/>
      <c r="I48" s="61"/>
      <c r="J48" s="61"/>
    </row>
    <row r="49" spans="1:5" x14ac:dyDescent="0.2">
      <c r="A49" s="23"/>
      <c r="B49" s="23"/>
      <c r="D49" s="23"/>
      <c r="E49" s="22"/>
    </row>
    <row r="50" spans="1:5" x14ac:dyDescent="0.2">
      <c r="A50" s="23"/>
      <c r="B50" s="23"/>
      <c r="D50" s="23"/>
      <c r="E50" s="22"/>
    </row>
    <row r="51" spans="1:5" x14ac:dyDescent="0.2">
      <c r="A51" s="23"/>
      <c r="B51" s="23"/>
      <c r="D51" s="23"/>
      <c r="E51" s="22"/>
    </row>
    <row r="52" spans="1:5" x14ac:dyDescent="0.2">
      <c r="A52" s="23"/>
      <c r="B52" s="23"/>
      <c r="D52" s="23"/>
      <c r="E52" s="22"/>
    </row>
    <row r="53" spans="1:5" x14ac:dyDescent="0.2">
      <c r="A53" s="23"/>
      <c r="B53" s="23"/>
      <c r="D53" s="23"/>
      <c r="E53" s="23"/>
    </row>
    <row r="54" spans="1:5" x14ac:dyDescent="0.2">
      <c r="A54" s="23"/>
      <c r="B54" s="23"/>
      <c r="D54" s="23"/>
      <c r="E54" s="23"/>
    </row>
  </sheetData>
  <mergeCells count="6">
    <mergeCell ref="G27:J48"/>
    <mergeCell ref="G2:H2"/>
    <mergeCell ref="G11:H11"/>
    <mergeCell ref="G16:H16"/>
    <mergeCell ref="G26:J26"/>
    <mergeCell ref="G22:H22"/>
  </mergeCells>
  <phoneticPr fontId="14" type="noConversion"/>
  <conditionalFormatting sqref="K23">
    <cfRule type="containsText" dxfId="5" priority="1" operator="containsText" text="behind">
      <formula>NOT(ISERROR(SEARCH("behind",K23)))</formula>
    </cfRule>
    <cfRule type="containsText" dxfId="4" priority="2" operator="containsText" text="in progress">
      <formula>NOT(ISERROR(SEARCH("in progress",K23)))</formula>
    </cfRule>
    <cfRule type="containsText" dxfId="3" priority="3" operator="containsText" text="passt nicht">
      <formula>NOT(ISERROR(SEARCH("passt nicht",K23)))</formula>
    </cfRule>
    <cfRule type="containsText" dxfId="2" priority="4" operator="containsText" text="Fehler">
      <formula>NOT(ISERROR(SEARCH("Fehler",K23)))</formula>
    </cfRule>
    <cfRule type="containsText" dxfId="1" priority="5" operator="containsText" text="passt">
      <formula>NOT(ISERROR(SEARCH("passt",K23)))</formula>
    </cfRule>
    <cfRule type="containsText" dxfId="0" priority="6" operator="containsText" text="latest">
      <formula>NOT(ISERROR(SEARCH("latest",K23)))</formula>
    </cfRule>
  </conditionalFormatting>
  <dataValidations count="1">
    <dataValidation type="list" allowBlank="1" showInputMessage="1" showErrorMessage="1" sqref="H18:H19 H13:H14 H23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Button_FetchAllCurrentJiraTicketsFromUser">
                <anchor moveWithCells="1" sizeWithCells="1">
                  <from>
                    <xdr:col>3</xdr:col>
                    <xdr:colOff>25400</xdr:colOff>
                    <xdr:row>0</xdr:row>
                    <xdr:rowOff>12700</xdr:rowOff>
                  </from>
                  <to>
                    <xdr:col>3</xdr:col>
                    <xdr:colOff>1308100</xdr:colOff>
                    <xdr:row>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Button_FetchProjektronTasksFromUser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46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2025-01-14T12:10:21Z</dcterms:modified>
</cp:coreProperties>
</file>