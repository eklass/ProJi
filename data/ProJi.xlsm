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8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richklassen/Documents/Tools/TimeBooking/ProJi/data/"/>
    </mc:Choice>
  </mc:AlternateContent>
  <xr:revisionPtr revIDLastSave="0" documentId="13_ncr:1_{A549EACE-E4D7-FE4E-BE2F-B1C949DD0ADB}" xr6:coauthVersionLast="47" xr6:coauthVersionMax="47" xr10:uidLastSave="{00000000-0000-0000-0000-000000000000}"/>
  <bookViews>
    <workbookView xWindow="4420" yWindow="2360" windowWidth="32380" windowHeight="20260" tabRatio="500" activeTab="11" xr2:uid="{00000000-000D-0000-FFFF-FFFF00000000}"/>
  </bookViews>
  <sheets>
    <sheet name="Montag" sheetId="11" r:id="rId1"/>
    <sheet name="Dienstag" sheetId="3" r:id="rId2"/>
    <sheet name="Mittwoch" sheetId="12" r:id="rId3"/>
    <sheet name="Donnerstag" sheetId="18" r:id="rId4"/>
    <sheet name="Freitag" sheetId="14" r:id="rId5"/>
    <sheet name="Samstag" sheetId="15" r:id="rId6"/>
    <sheet name="Sonntag" sheetId="16" r:id="rId7"/>
    <sheet name="Wochenübersicht" sheetId="20" r:id="rId8"/>
    <sheet name="VBA-Settings" sheetId="10" r:id="rId9"/>
    <sheet name="ProJi-Settings" sheetId="19" r:id="rId10"/>
    <sheet name="xlwings.conf" sheetId="2" r:id="rId11"/>
    <sheet name="Sonstiges" sheetId="17" r:id="rId12"/>
  </sheets>
  <functionGroups builtInGroupCount="19"/>
  <definedNames>
    <definedName name="_xlnm._FilterDatabase" localSheetId="1" hidden="1">Dienstag!$A$6:$L$6</definedName>
    <definedName name="_xlnm._FilterDatabase" localSheetId="3" hidden="1">Donnerstag!$A$6:$L$6</definedName>
    <definedName name="_xlnm._FilterDatabase" localSheetId="4" hidden="1">Freitag!$A$6:$L$6</definedName>
    <definedName name="_xlnm._FilterDatabase" localSheetId="2" hidden="1">Mittwoch!$A$6:$L$6</definedName>
    <definedName name="_xlnm._FilterDatabase" localSheetId="0" hidden="1">Montag!$A$6:$L$6</definedName>
    <definedName name="_xlnm._FilterDatabase" localSheetId="5" hidden="1">Samstag!$A$6:$L$6</definedName>
    <definedName name="_xlnm._FilterDatabase" localSheetId="6" hidden="1">Sonntag!$A$6:$L$6</definedName>
    <definedName name="_xleta.MOD" hidden="1" xlm="1">#NAME?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8" l="1"/>
  <c r="D8" i="18"/>
  <c r="D9" i="18"/>
  <c r="D9" i="11"/>
  <c r="D8" i="11"/>
  <c r="D7" i="11"/>
  <c r="D7" i="16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10" i="14"/>
  <c r="D11" i="14"/>
  <c r="D8" i="14"/>
  <c r="D12" i="14"/>
  <c r="D7" i="14"/>
  <c r="D9" i="14"/>
  <c r="D13" i="14"/>
  <c r="D14" i="14"/>
  <c r="D15" i="14"/>
  <c r="D16" i="14"/>
  <c r="D17" i="14"/>
  <c r="D18" i="14"/>
  <c r="D19" i="14"/>
  <c r="D20" i="14"/>
  <c r="D21" i="14"/>
  <c r="D17" i="11"/>
  <c r="D10" i="11"/>
  <c r="D11" i="11"/>
  <c r="D12" i="11"/>
  <c r="D15" i="11"/>
  <c r="D14" i="11"/>
  <c r="D13" i="11"/>
  <c r="D16" i="11"/>
  <c r="D18" i="11"/>
  <c r="D19" i="11"/>
  <c r="D20" i="11"/>
  <c r="D21" i="11"/>
  <c r="D10" i="12"/>
  <c r="D15" i="12"/>
  <c r="D16" i="12"/>
  <c r="D12" i="12"/>
  <c r="D11" i="12"/>
  <c r="D13" i="12"/>
  <c r="D8" i="12"/>
  <c r="D9" i="12"/>
  <c r="D7" i="12"/>
  <c r="D14" i="12"/>
  <c r="D17" i="12"/>
  <c r="D18" i="12"/>
  <c r="D19" i="12"/>
  <c r="D20" i="12"/>
  <c r="D21" i="12"/>
  <c r="D10" i="18"/>
  <c r="D11" i="18"/>
  <c r="D12" i="18"/>
  <c r="D13" i="18"/>
  <c r="D14" i="18"/>
  <c r="D15" i="18"/>
  <c r="D16" i="18"/>
  <c r="D17" i="18"/>
  <c r="D18" i="18"/>
  <c r="D19" i="18"/>
  <c r="D20" i="18"/>
  <c r="D21" i="18"/>
  <c r="D14" i="15"/>
  <c r="D15" i="15"/>
  <c r="D13" i="15"/>
  <c r="D12" i="15"/>
  <c r="D11" i="15"/>
  <c r="D10" i="15"/>
  <c r="D8" i="15"/>
  <c r="D9" i="15"/>
  <c r="D7" i="15"/>
  <c r="D16" i="15"/>
  <c r="D17" i="15"/>
  <c r="D18" i="15"/>
  <c r="D19" i="15"/>
  <c r="D20" i="15"/>
  <c r="D21" i="15"/>
  <c r="F25" i="12"/>
  <c r="F25" i="11"/>
  <c r="F25" i="16"/>
  <c r="F25" i="15"/>
  <c r="F25" i="14"/>
  <c r="F25" i="18"/>
  <c r="F25" i="3"/>
  <c r="D24" i="15" l="1"/>
  <c r="E23" i="15"/>
  <c r="G3" i="20"/>
  <c r="G4" i="20" s="1"/>
  <c r="D24" i="16"/>
  <c r="H3" i="20" s="1"/>
  <c r="H4" i="20" s="1"/>
  <c r="E23" i="16"/>
  <c r="D23" i="16"/>
  <c r="D23" i="15"/>
  <c r="D24" i="14"/>
  <c r="F3" i="20" s="1"/>
  <c r="F4" i="20" s="1"/>
  <c r="F6" i="20" s="1"/>
  <c r="G6" i="20" s="1"/>
  <c r="H6" i="20" s="1"/>
  <c r="D24" i="18"/>
  <c r="E3" i="20" s="1"/>
  <c r="E4" i="20" s="1"/>
  <c r="E6" i="20" s="1"/>
  <c r="D24" i="12"/>
  <c r="D3" i="20" s="1"/>
  <c r="D4" i="20" s="1"/>
  <c r="D6" i="20" s="1"/>
  <c r="D24" i="3"/>
  <c r="D23" i="3" s="1"/>
  <c r="D24" i="11"/>
  <c r="B3" i="20" s="1"/>
  <c r="B4" i="20" s="1"/>
  <c r="B6" i="20" s="1"/>
  <c r="B7" i="20" s="1"/>
  <c r="E23" i="11" l="1"/>
  <c r="D23" i="12"/>
  <c r="D23" i="11"/>
  <c r="E23" i="14"/>
  <c r="D23" i="14"/>
  <c r="E23" i="18"/>
  <c r="E23" i="12"/>
  <c r="D23" i="18"/>
  <c r="E23" i="3"/>
  <c r="C3" i="20"/>
  <c r="C4" i="20" s="1"/>
  <c r="C6" i="20" s="1"/>
  <c r="C7" i="20" s="1"/>
  <c r="D25" i="11"/>
  <c r="E25" i="11" l="1"/>
  <c r="J4" i="20"/>
  <c r="D7" i="20"/>
  <c r="D25" i="3"/>
  <c r="E25" i="3" s="1"/>
  <c r="E7" i="20" l="1"/>
  <c r="D25" i="12"/>
  <c r="E25" i="12" s="1"/>
  <c r="F7" i="20" l="1"/>
  <c r="D25" i="18"/>
  <c r="E25" i="18" s="1"/>
  <c r="G7" i="20" l="1"/>
  <c r="D25" i="14"/>
  <c r="E25" i="14" s="1"/>
  <c r="D25" i="15" l="1"/>
  <c r="E25" i="15" s="1"/>
  <c r="H7" i="20"/>
  <c r="D25" i="16" s="1"/>
  <c r="E25" i="16" s="1"/>
</calcChain>
</file>

<file path=xl/sharedStrings.xml><?xml version="1.0" encoding="utf-8"?>
<sst xmlns="http://schemas.openxmlformats.org/spreadsheetml/2006/main" count="308" uniqueCount="99">
  <si>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</si>
  <si>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</si>
  <si>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</si>
  <si>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</si>
  <si>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</si>
  <si>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</si>
  <si>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</si>
  <si>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</si>
  <si>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</si>
  <si>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</si>
  <si>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</si>
  <si>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</si>
  <si>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</si>
  <si>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</si>
  <si>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Datum</t>
  </si>
  <si>
    <t>Makro ShortCuts</t>
  </si>
  <si>
    <t>Start</t>
  </si>
  <si>
    <t>Control + Shift + C</t>
  </si>
  <si>
    <t>Copy Ticket</t>
  </si>
  <si>
    <t>Pause</t>
  </si>
  <si>
    <t>Control + Shift + X</t>
  </si>
  <si>
    <t>RoundUp Time</t>
  </si>
  <si>
    <t>Arbeitsstunden Soll</t>
  </si>
  <si>
    <t>Control + Shift + Y</t>
  </si>
  <si>
    <t>RoundDown Time</t>
  </si>
  <si>
    <t>Projektron-Task</t>
  </si>
  <si>
    <t>Ticket</t>
  </si>
  <si>
    <t>Topic</t>
  </si>
  <si>
    <t>Σ</t>
  </si>
  <si>
    <t>Einzelnachweise</t>
  </si>
  <si>
    <t>Jira Status</t>
  </si>
  <si>
    <t>Projektron Status</t>
  </si>
  <si>
    <t>"Console"</t>
  </si>
  <si>
    <t>Task ID</t>
  </si>
  <si>
    <t>Bezeichner</t>
  </si>
  <si>
    <t>Description</t>
  </si>
  <si>
    <t>Jira Ticket</t>
  </si>
  <si>
    <t>1Password Settings</t>
  </si>
  <si>
    <t>Comment</t>
  </si>
  <si>
    <t>Sign-In Address</t>
  </si>
  <si>
    <t>Email Address</t>
  </si>
  <si>
    <t>Session Token (30 min valid)</t>
  </si>
  <si>
    <t>1Password Reference for Jira</t>
  </si>
  <si>
    <t>1Password Reference for Projektron</t>
  </si>
  <si>
    <t>Projektron Settings</t>
  </si>
  <si>
    <t>true</t>
  </si>
  <si>
    <t>python3</t>
  </si>
  <si>
    <t>VPN Status</t>
  </si>
  <si>
    <t>VPN aktiv</t>
  </si>
  <si>
    <t>Show 1Password Logging</t>
  </si>
  <si>
    <t>Show Browser during execution</t>
  </si>
  <si>
    <t>Jira Settings</t>
  </si>
  <si>
    <t>Fill Out</t>
  </si>
  <si>
    <t>Jira Domain</t>
  </si>
  <si>
    <t>x</t>
  </si>
  <si>
    <t>f.e. https://jira.COMPANY.com</t>
  </si>
  <si>
    <t>Transfer booking text to JIRA</t>
  </si>
  <si>
    <t>false</t>
  </si>
  <si>
    <t>Projektron Domain</t>
  </si>
  <si>
    <t>f.e. https://projektron.COMPANY.com</t>
  </si>
  <si>
    <t>f.e. https://COMPANY.1password.com</t>
  </si>
  <si>
    <t>Entry Name in 1Password for Jira</t>
  </si>
  <si>
    <t>Entry Name in 1Password for Projektron</t>
  </si>
  <si>
    <t>Projektron</t>
  </si>
  <si>
    <t>Last Modified</t>
  </si>
  <si>
    <t>Status</t>
  </si>
  <si>
    <t>will be generated</t>
  </si>
  <si>
    <t>User Locale</t>
  </si>
  <si>
    <t>will be fetched</t>
  </si>
  <si>
    <t>Jira</t>
  </si>
  <si>
    <t>Autocomplete Jira Ticket description</t>
  </si>
  <si>
    <t>Transfer the comment to jira ticket</t>
  </si>
  <si>
    <t xml:space="preserve"> </t>
  </si>
  <si>
    <t>ProJi Repo</t>
  </si>
  <si>
    <t>Enable Automatic Update Fetching after Startup</t>
  </si>
  <si>
    <t>display a popup if new updates are there</t>
  </si>
  <si>
    <t>Fills Jira Description in column C</t>
  </si>
  <si>
    <t>Jira Name</t>
  </si>
  <si>
    <t>Host</t>
  </si>
  <si>
    <t>1Password-Reference</t>
  </si>
  <si>
    <t>Comment on Ticket</t>
  </si>
  <si>
    <t>Ticket Prefix (comma seperated)</t>
  </si>
  <si>
    <t>Jira User Mail Address</t>
  </si>
  <si>
    <t>latest</t>
  </si>
  <si>
    <t>Montag</t>
  </si>
  <si>
    <t>Dienstag</t>
  </si>
  <si>
    <t>Mittwoch</t>
  </si>
  <si>
    <t>Donnerstag</t>
  </si>
  <si>
    <t>Freitag</t>
  </si>
  <si>
    <t>Samstag</t>
  </si>
  <si>
    <t>Sonntag</t>
  </si>
  <si>
    <t>Geleistete Stunden</t>
  </si>
  <si>
    <t>UhrzeitFormat</t>
  </si>
  <si>
    <t>Stunden</t>
  </si>
  <si>
    <t>delta</t>
  </si>
  <si>
    <t>delta aufsummiert</t>
  </si>
  <si>
    <t>Wochenübersicht bis heute</t>
  </si>
  <si>
    <t>SUMME</t>
  </si>
  <si>
    <t>ProJi Repo ist up to date.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</si>
</sst>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"/>
    <numFmt numFmtId="165" formatCode="&quot;€&quot;#,##0_);[Red]\(&quot;€&quot;#,##0\)"/>
    <numFmt numFmtId="166" formatCode="h:mm;@"/>
    <numFmt numFmtId="167" formatCode="0.00_ ;[Red]\-0.00\ "/>
  </numFmts>
  <fonts count="1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2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ptos Narrow"/>
      <family val="2"/>
    </font>
    <font>
      <b/>
      <u/>
      <sz val="12"/>
      <color rgb="FF305496"/>
      <name val="Aptos Narrow"/>
      <family val="2"/>
    </font>
    <font>
      <b/>
      <u/>
      <sz val="12"/>
      <color rgb="FFC64A77"/>
      <name val="Aptos Narrow"/>
      <family val="2"/>
    </font>
    <font>
      <sz val="12"/>
      <color rgb="FF76933C"/>
      <name val="Aptos Narrow"/>
      <family val="2"/>
    </font>
    <font>
      <sz val="12"/>
      <color theme="6" tint="0.59999389629810485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3A3838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CCF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E69A"/>
        <bgColor indexed="64"/>
      </patternFill>
    </fill>
    <fill>
      <patternFill patternType="solid">
        <fgColor rgb="FFE6B8B7"/>
        <bgColor rgb="FF000000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4" fontId="0" fillId="3" borderId="1" xfId="0" applyNumberFormat="1" applyFill="1" applyBorder="1" applyAlignment="1">
      <alignment horizontal="center"/>
    </xf>
    <xf numFmtId="20" fontId="0" fillId="0" borderId="0" xfId="0" applyNumberFormat="1"/>
    <xf numFmtId="20" fontId="0" fillId="3" borderId="1" xfId="0" applyNumberFormat="1" applyFill="1" applyBorder="1" applyAlignment="1">
      <alignment horizont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2" fillId="5" borderId="1" xfId="0" applyFont="1" applyFill="1" applyBorder="1"/>
    <xf numFmtId="0" fontId="2" fillId="6" borderId="1" xfId="0" applyFont="1" applyFill="1" applyBorder="1"/>
    <xf numFmtId="0" fontId="0" fillId="7" borderId="1" xfId="0" applyFill="1" applyBorder="1"/>
    <xf numFmtId="20" fontId="0" fillId="4" borderId="1" xfId="0" applyNumberFormat="1" applyFill="1" applyBorder="1" applyAlignment="1">
      <alignment horizontal="center"/>
    </xf>
    <xf numFmtId="20" fontId="0" fillId="3" borderId="1" xfId="0" applyNumberFormat="1" applyFill="1" applyBorder="1"/>
    <xf numFmtId="0" fontId="0" fillId="3" borderId="1" xfId="0" applyFill="1" applyBorder="1"/>
    <xf numFmtId="14" fontId="0" fillId="0" borderId="0" xfId="0" applyNumberFormat="1"/>
    <xf numFmtId="3" fontId="0" fillId="0" borderId="0" xfId="0" applyNumberFormat="1"/>
    <xf numFmtId="20" fontId="0" fillId="7" borderId="1" xfId="0" applyNumberFormat="1" applyFill="1" applyBorder="1"/>
    <xf numFmtId="165" fontId="0" fillId="0" borderId="0" xfId="0" applyNumberFormat="1"/>
    <xf numFmtId="0" fontId="1" fillId="12" borderId="9" xfId="0" applyFont="1" applyFill="1" applyBorder="1"/>
    <xf numFmtId="0" fontId="0" fillId="2" borderId="1" xfId="0" applyFill="1" applyBorder="1"/>
    <xf numFmtId="0" fontId="0" fillId="2" borderId="1" xfId="0" applyFill="1" applyBorder="1" applyAlignment="1">
      <alignment horizontal="left"/>
    </xf>
    <xf numFmtId="0" fontId="0" fillId="13" borderId="1" xfId="0" applyFill="1" applyBorder="1"/>
    <xf numFmtId="0" fontId="5" fillId="14" borderId="1" xfId="1" applyFill="1" applyBorder="1"/>
    <xf numFmtId="0" fontId="0" fillId="14" borderId="1" xfId="0" applyFill="1" applyBorder="1"/>
    <xf numFmtId="0" fontId="2" fillId="15" borderId="1" xfId="0" applyFont="1" applyFill="1" applyBorder="1"/>
    <xf numFmtId="0" fontId="0" fillId="0" borderId="1" xfId="0" applyBorder="1"/>
    <xf numFmtId="20" fontId="0" fillId="9" borderId="1" xfId="0" applyNumberForma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66" fontId="0" fillId="13" borderId="1" xfId="0" applyNumberFormat="1" applyFill="1" applyBorder="1" applyAlignment="1">
      <alignment horizontal="center"/>
    </xf>
    <xf numFmtId="20" fontId="0" fillId="17" borderId="1" xfId="0" applyNumberForma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right"/>
    </xf>
    <xf numFmtId="0" fontId="0" fillId="13" borderId="1" xfId="0" applyFill="1" applyBorder="1" applyAlignment="1">
      <alignment horizontal="right"/>
    </xf>
    <xf numFmtId="0" fontId="1" fillId="13" borderId="1" xfId="0" applyFont="1" applyFill="1" applyBorder="1" applyAlignment="1">
      <alignment horizontal="center"/>
    </xf>
    <xf numFmtId="20" fontId="0" fillId="3" borderId="10" xfId="0" applyNumberFormat="1" applyFill="1" applyBorder="1"/>
    <xf numFmtId="49" fontId="0" fillId="0" borderId="1" xfId="0" applyNumberFormat="1" applyBorder="1"/>
    <xf numFmtId="0" fontId="5" fillId="0" borderId="1" xfId="1" applyBorder="1"/>
    <xf numFmtId="0" fontId="0" fillId="15" borderId="1" xfId="0" applyFill="1" applyBorder="1"/>
    <xf numFmtId="0" fontId="1" fillId="19" borderId="1" xfId="0" applyFont="1" applyFill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1" xfId="0" applyFont="1" applyBorder="1"/>
    <xf numFmtId="0" fontId="9" fillId="0" borderId="11" xfId="0" applyFont="1" applyBorder="1" applyAlignment="1">
      <alignment horizontal="center"/>
    </xf>
    <xf numFmtId="0" fontId="9" fillId="0" borderId="11" xfId="0" applyFont="1" applyBorder="1"/>
    <xf numFmtId="0" fontId="1" fillId="12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1" fillId="12" borderId="1" xfId="0" applyFont="1" applyFill="1" applyBorder="1"/>
    <xf numFmtId="0" fontId="0" fillId="15" borderId="1" xfId="0" applyFill="1" applyBorder="1" applyAlignment="1">
      <alignment horizontal="center"/>
    </xf>
    <xf numFmtId="0" fontId="0" fillId="20" borderId="1" xfId="0" applyFill="1" applyBorder="1"/>
    <xf numFmtId="0" fontId="5" fillId="20" borderId="0" xfId="1" applyFill="1"/>
    <xf numFmtId="0" fontId="0" fillId="21" borderId="1" xfId="0" applyFill="1" applyBorder="1"/>
    <xf numFmtId="0" fontId="0" fillId="21" borderId="0" xfId="0" applyFill="1"/>
    <xf numFmtId="21" fontId="0" fillId="15" borderId="1" xfId="0" applyNumberFormat="1" applyFill="1" applyBorder="1"/>
    <xf numFmtId="0" fontId="1" fillId="13" borderId="1" xfId="0" applyFont="1" applyFill="1" applyBorder="1"/>
    <xf numFmtId="20" fontId="5" fillId="3" borderId="1" xfId="1" applyNumberFormat="1" applyFill="1" applyBorder="1"/>
    <xf numFmtId="0" fontId="6" fillId="18" borderId="1" xfId="0" applyFont="1" applyFill="1" applyBorder="1"/>
    <xf numFmtId="0" fontId="0" fillId="0" borderId="0" xfId="0" applyAlignment="1">
      <alignment wrapText="1"/>
    </xf>
    <xf numFmtId="0" fontId="6" fillId="18" borderId="10" xfId="0" applyFont="1" applyFill="1" applyBorder="1"/>
    <xf numFmtId="166" fontId="0" fillId="0" borderId="0" xfId="0" applyNumberFormat="1"/>
    <xf numFmtId="167" fontId="0" fillId="0" borderId="0" xfId="0" applyNumberFormat="1"/>
    <xf numFmtId="167" fontId="0" fillId="22" borderId="1" xfId="0" applyNumberFormat="1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166" fontId="0" fillId="22" borderId="1" xfId="0" applyNumberFormat="1" applyFill="1" applyBorder="1" applyAlignment="1">
      <alignment horizontal="center"/>
    </xf>
    <xf numFmtId="166" fontId="0" fillId="0" borderId="1" xfId="0" applyNumberFormat="1" applyBorder="1"/>
    <xf numFmtId="2" fontId="0" fillId="0" borderId="1" xfId="0" applyNumberFormat="1" applyBorder="1"/>
    <xf numFmtId="20" fontId="0" fillId="0" borderId="1" xfId="0" applyNumberFormat="1" applyBorder="1"/>
    <xf numFmtId="22" fontId="0" fillId="0" borderId="0" xfId="0" applyNumberFormat="1"/>
    <xf numFmtId="49" fontId="0" fillId="7" borderId="1" xfId="0" applyNumberFormat="1" applyFill="1" applyBorder="1"/>
    <xf numFmtId="49" fontId="2" fillId="5" borderId="1" xfId="0" applyNumberFormat="1" applyFont="1" applyFill="1" applyBorder="1"/>
    <xf numFmtId="49" fontId="2" fillId="6" borderId="1" xfId="0" applyNumberFormat="1" applyFont="1" applyFill="1" applyBorder="1"/>
    <xf numFmtId="2" fontId="0" fillId="0" borderId="0" xfId="0" applyNumberFormat="1"/>
    <xf numFmtId="20" fontId="6" fillId="18" borderId="1" xfId="0" applyNumberFormat="1" applyFont="1" applyFill="1" applyBorder="1"/>
    <xf numFmtId="49" fontId="6" fillId="18" borderId="1" xfId="0" applyNumberFormat="1" applyFont="1" applyFill="1" applyBorder="1"/>
    <xf numFmtId="49" fontId="0" fillId="7" borderId="10" xfId="0" applyNumberFormat="1" applyFill="1" applyBorder="1"/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4" fillId="11" borderId="1" xfId="0" applyFont="1" applyFill="1" applyBorder="1" applyAlignment="1">
      <alignment horizontal="center" vertical="top" wrapText="1"/>
    </xf>
    <xf numFmtId="0" fontId="0" fillId="13" borderId="9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15" fillId="13" borderId="9" xfId="0" applyFont="1" applyFill="1" applyBorder="1" applyAlignment="1">
      <alignment horizontal="center"/>
    </xf>
    <xf numFmtId="0" fontId="15" fillId="13" borderId="12" xfId="0" applyFont="1" applyFill="1" applyBorder="1" applyAlignment="1">
      <alignment horizontal="center"/>
    </xf>
    <xf numFmtId="0" fontId="15" fillId="13" borderId="10" xfId="0" applyFont="1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10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11" borderId="8" xfId="0" applyFont="1" applyFill="1" applyBorder="1" applyAlignment="1">
      <alignment horizontal="center" vertical="top" wrapText="1"/>
    </xf>
    <xf numFmtId="0" fontId="4" fillId="11" borderId="0" xfId="0" applyFont="1" applyFill="1" applyAlignment="1">
      <alignment horizontal="center" vertical="top" wrapText="1"/>
    </xf>
    <xf numFmtId="0" fontId="1" fillId="12" borderId="9" xfId="0" applyFon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1" fillId="12" borderId="12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1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216"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CB8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FF7D00"/>
        </patternFill>
      </fill>
    </dxf>
    <dxf>
      <fill>
        <patternFill>
          <bgColor rgb="FF00FCB8"/>
        </patternFill>
      </fill>
    </dxf>
  </dxfs>
  <tableStyles count="0" defaultTableStyle="TableStyleMedium9" defaultPivotStyle="PivotStyleMedium4"/>
  <colors>
    <mruColors>
      <color rgb="FFFF7D00"/>
      <color rgb="FFFEEAD9"/>
      <color rgb="FF4DECD9"/>
      <color rgb="FF00C9E9"/>
      <color rgb="FF00FCB8"/>
      <color rgb="FFFF00FF"/>
      <color rgb="FFFFE6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42" name="Button 2" descr="getJiraTimes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43" name="Button 3" descr="getJiraTimes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pitchFamily="2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44" name="Button 4" descr="getJiraTimes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pitchFamily="2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45" name="Button 5" descr="getJiraTimes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pitchFamily="2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6" name="Button 2" descr="getJiraTim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7" name="Button 3" descr="getJiraTim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pitchFamily="2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8" name="Button 4" descr="getJiraTim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pitchFamily="2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9" name="Button 5" descr="getJiraTim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pitchFamily="2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1266" name="Button 2" descr="getJiraTimes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1267" name="Button 3" descr="getJiraTimes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pitchFamily="2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1268" name="Button 4" descr="getJiraTim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pitchFamily="2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1269" name="Button 5" descr="getJiraTimes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pitchFamily="2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9458" name="Button 2" descr="getJiraTimes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9459" name="Button 3" descr="getJiraTime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pitchFamily="2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9460" name="Button 4" descr="getJiraTime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pitchFamily="2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9461" name="Button 5" descr="getJiraTimes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3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pitchFamily="2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3314" name="Button 2" descr="getJiraTimes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3315" name="Button 3" descr="getJiraTimes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pitchFamily="2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3316" name="Button 4" descr="getJiraTimes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pitchFamily="2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3317" name="Button 5" descr="getJiraTimes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pitchFamily="2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4338" name="Button 2" descr="getJiraTimes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4339" name="Button 3" descr="getJiraTimes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pitchFamily="2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4340" name="Button 4" descr="getJiraTimes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pitchFamily="2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4341" name="Button 5" descr="getJiraTimes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pitchFamily="2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5362" name="Button 2" descr="getJiraTimes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5363" name="Button 3" descr="getJiraTimes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pitchFamily="2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5364" name="Button 4" descr="getJiraTimes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6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pitchFamily="2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5365" name="Button 5" descr="getJiraTimes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6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pitchFamily="2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12700</xdr:rowOff>
        </xdr:from>
        <xdr:to>
          <xdr:col>3</xdr:col>
          <xdr:colOff>1308100</xdr:colOff>
          <xdr:row>1</xdr:row>
          <xdr:rowOff>254000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8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Fetch my tickets</a:t>
              </a:r>
            </a:p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(not closed)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1</xdr:col>
          <xdr:colOff>12700</xdr:colOff>
          <xdr:row>2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8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Fetch Projektron Tasks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7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187A0-F598-0D4F-B2A1-FF97804542CE}">
  <sheetPr codeName="Tabelle17"/>
  <dimension ref="A1:Z48"/>
  <sheetViews>
    <sheetView zoomScaleNormal="100" workbookViewId="0"/>
  </sheetViews>
  <sheetFormatPr baseColWidth="10" defaultRowHeight="16" x14ac:dyDescent="0.2"/>
  <cols>
    <col min="1" max="1" width="47.83203125" customWidth="1"/>
    <col min="2" max="2" width="13.6640625" bestFit="1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26" x14ac:dyDescent="0.2">
      <c r="A1" s="34" t="s">
        <v>14</v>
      </c>
      <c r="B1" s="3"/>
      <c r="C1" s="28" t="s">
        <v>47</v>
      </c>
      <c r="D1" s="4"/>
      <c r="K1" s="76" t="s">
        <v>15</v>
      </c>
      <c r="L1" s="77"/>
      <c r="Z1" s="68"/>
    </row>
    <row r="2" spans="1:26" x14ac:dyDescent="0.2">
      <c r="A2" s="34" t="s">
        <v>16</v>
      </c>
      <c r="B2" s="30"/>
      <c r="C2" s="29" t="s">
        <v>48</v>
      </c>
      <c r="K2" s="6" t="s">
        <v>17</v>
      </c>
      <c r="L2" s="7" t="s">
        <v>18</v>
      </c>
    </row>
    <row r="3" spans="1:26" x14ac:dyDescent="0.2">
      <c r="A3" s="35" t="s">
        <v>19</v>
      </c>
      <c r="B3" s="5"/>
      <c r="K3" s="6" t="s">
        <v>20</v>
      </c>
      <c r="L3" s="7" t="s">
        <v>21</v>
      </c>
    </row>
    <row r="4" spans="1:26" ht="17" thickBot="1" x14ac:dyDescent="0.25">
      <c r="A4" s="35" t="s">
        <v>22</v>
      </c>
      <c r="B4" s="5">
        <v>0.33333333333333331</v>
      </c>
      <c r="K4" s="8" t="s">
        <v>23</v>
      </c>
      <c r="L4" s="9" t="s">
        <v>24</v>
      </c>
    </row>
    <row r="6" spans="1:26" x14ac:dyDescent="0.2">
      <c r="A6" s="36" t="s">
        <v>25</v>
      </c>
      <c r="B6" s="36" t="s">
        <v>26</v>
      </c>
      <c r="C6" s="36" t="s">
        <v>27</v>
      </c>
      <c r="D6" s="36" t="s">
        <v>28</v>
      </c>
      <c r="E6" s="78" t="s">
        <v>29</v>
      </c>
      <c r="F6" s="78"/>
      <c r="G6" s="78"/>
      <c r="H6" s="78"/>
      <c r="I6" s="78"/>
      <c r="J6" s="78"/>
      <c r="K6" s="36" t="s">
        <v>30</v>
      </c>
      <c r="L6" s="36" t="s">
        <v>31</v>
      </c>
    </row>
    <row r="7" spans="1:26" x14ac:dyDescent="0.2">
      <c r="A7" s="10"/>
      <c r="B7" s="11"/>
      <c r="C7" s="69"/>
      <c r="D7" s="13">
        <f t="shared" ref="D7:D9" si="0">SUM(E7:J7)</f>
        <v>0</v>
      </c>
      <c r="E7" s="14"/>
      <c r="F7" s="14"/>
      <c r="G7" s="14"/>
      <c r="H7" s="15"/>
      <c r="I7" s="15"/>
      <c r="J7" s="15"/>
      <c r="K7" s="33"/>
      <c r="L7" s="33"/>
    </row>
    <row r="8" spans="1:26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5"/>
      <c r="K8" s="33"/>
      <c r="L8" s="33"/>
      <c r="M8" s="4"/>
    </row>
    <row r="9" spans="1:26" x14ac:dyDescent="0.2">
      <c r="A9" s="10"/>
      <c r="B9" s="11"/>
      <c r="C9" s="73"/>
      <c r="D9" s="13">
        <f t="shared" si="0"/>
        <v>0</v>
      </c>
      <c r="E9" s="14"/>
      <c r="F9" s="14"/>
      <c r="G9" s="14"/>
      <c r="H9" s="14"/>
      <c r="I9" s="14"/>
      <c r="J9" s="14"/>
      <c r="K9" s="33"/>
      <c r="L9" s="33"/>
      <c r="M9" s="4"/>
    </row>
    <row r="10" spans="1:26" x14ac:dyDescent="0.2">
      <c r="A10" s="10"/>
      <c r="B10" s="11"/>
      <c r="C10" s="74"/>
      <c r="D10" s="13">
        <f t="shared" ref="D10:D21" si="1">SUM(E10:J10)</f>
        <v>0</v>
      </c>
      <c r="E10" s="14"/>
      <c r="F10" s="14"/>
      <c r="G10" s="14"/>
      <c r="H10" s="14"/>
      <c r="I10" s="14"/>
      <c r="J10" s="14"/>
      <c r="K10" s="33"/>
      <c r="L10" s="33"/>
    </row>
    <row r="11" spans="1:26" x14ac:dyDescent="0.2">
      <c r="A11" s="10"/>
      <c r="B11" s="11"/>
      <c r="C11" s="73"/>
      <c r="D11" s="13">
        <f t="shared" si="1"/>
        <v>0</v>
      </c>
      <c r="E11" s="14"/>
      <c r="F11" s="14"/>
      <c r="G11" s="14"/>
      <c r="H11" s="14"/>
      <c r="I11" s="14"/>
      <c r="J11" s="14"/>
      <c r="K11" s="33"/>
      <c r="L11" s="33"/>
    </row>
    <row r="12" spans="1:26" x14ac:dyDescent="0.2">
      <c r="A12" s="10"/>
      <c r="B12" s="11"/>
      <c r="C12" s="57"/>
      <c r="D12" s="13">
        <f t="shared" si="1"/>
        <v>0</v>
      </c>
      <c r="E12" s="14"/>
      <c r="F12" s="14"/>
      <c r="G12" s="14"/>
      <c r="H12" s="14"/>
      <c r="I12" s="14"/>
      <c r="J12" s="14"/>
      <c r="K12" s="33"/>
      <c r="L12" s="33"/>
    </row>
    <row r="13" spans="1:26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4"/>
      <c r="J13" s="14"/>
      <c r="K13" s="33"/>
      <c r="L13" s="33"/>
    </row>
    <row r="14" spans="1:26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3"/>
      <c r="L14" s="33"/>
    </row>
    <row r="15" spans="1:26" x14ac:dyDescent="0.2">
      <c r="A15" s="10"/>
      <c r="B15" s="11"/>
      <c r="C15" s="69"/>
      <c r="D15" s="13">
        <f t="shared" si="1"/>
        <v>0</v>
      </c>
      <c r="E15" s="14"/>
      <c r="F15" s="14"/>
      <c r="G15" s="14"/>
      <c r="H15" s="14"/>
      <c r="I15" s="14"/>
      <c r="J15" s="14"/>
      <c r="K15" s="33"/>
      <c r="L15" s="33"/>
      <c r="M15" s="16"/>
      <c r="N15" s="17"/>
    </row>
    <row r="16" spans="1:26" x14ac:dyDescent="0.2">
      <c r="A16" s="10"/>
      <c r="B16" s="11"/>
      <c r="C16" s="12"/>
      <c r="D16" s="13">
        <f t="shared" si="1"/>
        <v>0</v>
      </c>
      <c r="E16" s="14"/>
      <c r="F16" s="14"/>
      <c r="G16" s="14"/>
      <c r="H16" s="15"/>
      <c r="I16" s="15"/>
      <c r="J16" s="15"/>
      <c r="K16" s="33"/>
      <c r="L16" s="33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4"/>
      <c r="I17" s="14"/>
      <c r="J17" s="14"/>
      <c r="K17" s="33"/>
      <c r="L17" s="33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3"/>
      <c r="L18" s="33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4"/>
      <c r="K19" s="33"/>
      <c r="L19" s="33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3"/>
      <c r="L20" s="33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3"/>
      <c r="L21" s="33"/>
      <c r="N21" s="4"/>
    </row>
    <row r="22" spans="1:14" x14ac:dyDescent="0.2">
      <c r="A22" s="93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5"/>
      <c r="N22" s="4"/>
    </row>
    <row r="23" spans="1:14" x14ac:dyDescent="0.2">
      <c r="A23" s="81"/>
      <c r="B23" s="82"/>
      <c r="C23" s="83"/>
      <c r="D23" s="31" t="str">
        <f ca="1">IF((MOD(NOW(),1)-B2-D24-B3)&lt; 0, "-" &amp; TEXT(ABS((MOD(NOW(),1)-B2-D24-B3)), "hh:mm"), TEXT((MOD(NOW(),1)-B2-D24-B3), "hh:mm"))</f>
        <v>10:42</v>
      </c>
      <c r="E23" s="84">
        <f ca="1">IF((MOD(NOW(),1)-B2-D24-B3)&lt;0, (MOD(NOW(),1)-B2-D24-B3) + 1, MOD(NOW(),1)-B2-D24-B3)</f>
        <v>0.44647129629447591</v>
      </c>
      <c r="F23" s="85"/>
      <c r="G23" s="85"/>
      <c r="H23" s="85"/>
      <c r="I23" s="85"/>
      <c r="J23" s="85"/>
      <c r="K23" s="85"/>
      <c r="L23" s="86"/>
      <c r="N23" s="4"/>
    </row>
    <row r="24" spans="1:14" x14ac:dyDescent="0.2">
      <c r="A24" s="87"/>
      <c r="B24" s="88"/>
      <c r="C24" s="89"/>
      <c r="D24" s="32">
        <f>SUM(D7:D21)</f>
        <v>0</v>
      </c>
      <c r="E24" s="87"/>
      <c r="F24" s="88"/>
      <c r="G24" s="88"/>
      <c r="H24" s="88"/>
      <c r="I24" s="88"/>
      <c r="J24" s="88"/>
      <c r="K24" s="88"/>
      <c r="L24" s="89"/>
      <c r="M24" s="16"/>
    </row>
    <row r="25" spans="1:14" x14ac:dyDescent="0.2">
      <c r="A25" s="90"/>
      <c r="B25" s="91"/>
      <c r="C25" s="63" t="s">
        <v>96</v>
      </c>
      <c r="D25" s="62">
        <f>Wochenübersicht!B7</f>
        <v>-8</v>
      </c>
      <c r="E25" s="64">
        <f ca="1">IF(D25&lt;0,NOW()-E23+((D25*-1)/24),"")</f>
        <v>46079.333333333336</v>
      </c>
      <c r="F25" s="90" t="str">
        <f>IF(B3&lt;TIME(0,29,0),"+ 30 min. break","")</f>
        <v>+ 30 min. break</v>
      </c>
      <c r="G25" s="91"/>
      <c r="H25" s="90"/>
      <c r="I25" s="92"/>
      <c r="J25" s="92"/>
      <c r="K25" s="92"/>
      <c r="L25" s="91"/>
    </row>
    <row r="26" spans="1:14" x14ac:dyDescent="0.2">
      <c r="E26" s="79" t="s">
        <v>32</v>
      </c>
      <c r="F26" s="79"/>
      <c r="G26" s="79"/>
      <c r="H26" s="79"/>
      <c r="I26" s="79"/>
      <c r="J26" s="79"/>
      <c r="K26" s="79"/>
      <c r="L26" s="79"/>
    </row>
    <row r="27" spans="1:14" ht="16" customHeight="1" x14ac:dyDescent="0.2">
      <c r="E27" s="80"/>
      <c r="F27" s="80"/>
      <c r="G27" s="80"/>
      <c r="H27" s="80"/>
      <c r="I27" s="80"/>
      <c r="J27" s="80"/>
      <c r="K27" s="80"/>
      <c r="L27" s="80"/>
    </row>
    <row r="28" spans="1:14" x14ac:dyDescent="0.2">
      <c r="E28" s="80"/>
      <c r="F28" s="80"/>
      <c r="G28" s="80"/>
      <c r="H28" s="80"/>
      <c r="I28" s="80"/>
      <c r="J28" s="80"/>
      <c r="K28" s="80"/>
      <c r="L28" s="80"/>
    </row>
    <row r="29" spans="1:14" x14ac:dyDescent="0.2">
      <c r="E29" s="80"/>
      <c r="F29" s="80"/>
      <c r="G29" s="80"/>
      <c r="H29" s="80"/>
      <c r="I29" s="80"/>
      <c r="J29" s="80"/>
      <c r="K29" s="80"/>
      <c r="L29" s="80"/>
    </row>
    <row r="30" spans="1:14" x14ac:dyDescent="0.2">
      <c r="E30" s="80"/>
      <c r="F30" s="80"/>
      <c r="G30" s="80"/>
      <c r="H30" s="80"/>
      <c r="I30" s="80"/>
      <c r="J30" s="80"/>
      <c r="K30" s="80"/>
      <c r="L30" s="80"/>
    </row>
    <row r="31" spans="1:14" x14ac:dyDescent="0.2">
      <c r="B31" s="4"/>
      <c r="C31" s="4"/>
      <c r="E31" s="80"/>
      <c r="F31" s="80"/>
      <c r="G31" s="80"/>
      <c r="H31" s="80"/>
      <c r="I31" s="80"/>
      <c r="J31" s="80"/>
      <c r="K31" s="80"/>
      <c r="L31" s="80"/>
    </row>
    <row r="32" spans="1:14" x14ac:dyDescent="0.2">
      <c r="E32" s="80"/>
      <c r="F32" s="80"/>
      <c r="G32" s="80"/>
      <c r="H32" s="80"/>
      <c r="I32" s="80"/>
      <c r="J32" s="80"/>
      <c r="K32" s="80"/>
      <c r="L32" s="80"/>
    </row>
    <row r="33" spans="1:15" x14ac:dyDescent="0.2">
      <c r="A33" s="4"/>
      <c r="D33" s="16"/>
      <c r="E33" s="80"/>
      <c r="F33" s="80"/>
      <c r="G33" s="80"/>
      <c r="H33" s="80"/>
      <c r="I33" s="80"/>
      <c r="J33" s="80"/>
      <c r="K33" s="80"/>
      <c r="L33" s="80"/>
    </row>
    <row r="34" spans="1:15" x14ac:dyDescent="0.2">
      <c r="A34" s="4"/>
      <c r="D34" s="17"/>
      <c r="E34" s="80"/>
      <c r="F34" s="80"/>
      <c r="G34" s="80"/>
      <c r="H34" s="80"/>
      <c r="I34" s="80"/>
      <c r="J34" s="80"/>
      <c r="K34" s="80"/>
      <c r="L34" s="80"/>
    </row>
    <row r="35" spans="1:15" x14ac:dyDescent="0.2">
      <c r="E35" s="80"/>
      <c r="F35" s="80"/>
      <c r="G35" s="80"/>
      <c r="H35" s="80"/>
      <c r="I35" s="80"/>
      <c r="J35" s="80"/>
      <c r="K35" s="80"/>
      <c r="L35" s="80"/>
    </row>
    <row r="36" spans="1:15" x14ac:dyDescent="0.2">
      <c r="E36" s="80"/>
      <c r="F36" s="80"/>
      <c r="G36" s="80"/>
      <c r="H36" s="80"/>
      <c r="I36" s="80"/>
      <c r="J36" s="80"/>
      <c r="K36" s="80"/>
      <c r="L36" s="80"/>
      <c r="O36" s="19"/>
    </row>
    <row r="37" spans="1:15" x14ac:dyDescent="0.2">
      <c r="E37" s="80"/>
      <c r="F37" s="80"/>
      <c r="G37" s="80"/>
      <c r="H37" s="80"/>
      <c r="I37" s="80"/>
      <c r="J37" s="80"/>
      <c r="K37" s="80"/>
      <c r="L37" s="80"/>
    </row>
    <row r="38" spans="1:15" x14ac:dyDescent="0.2">
      <c r="E38" s="80"/>
      <c r="F38" s="80"/>
      <c r="G38" s="80"/>
      <c r="H38" s="80"/>
      <c r="I38" s="80"/>
      <c r="J38" s="80"/>
      <c r="K38" s="80"/>
      <c r="L38" s="80"/>
    </row>
    <row r="39" spans="1:15" x14ac:dyDescent="0.2">
      <c r="E39" s="80"/>
      <c r="F39" s="80"/>
      <c r="G39" s="80"/>
      <c r="H39" s="80"/>
      <c r="I39" s="80"/>
      <c r="J39" s="80"/>
      <c r="K39" s="80"/>
      <c r="L39" s="80"/>
    </row>
    <row r="40" spans="1:15" x14ac:dyDescent="0.2">
      <c r="E40" s="80"/>
      <c r="F40" s="80"/>
      <c r="G40" s="80"/>
      <c r="H40" s="80"/>
      <c r="I40" s="80"/>
      <c r="J40" s="80"/>
      <c r="K40" s="80"/>
      <c r="L40" s="80"/>
    </row>
    <row r="41" spans="1:15" x14ac:dyDescent="0.2">
      <c r="E41" s="80"/>
      <c r="F41" s="80"/>
      <c r="G41" s="80"/>
      <c r="H41" s="80"/>
      <c r="I41" s="80"/>
      <c r="J41" s="80"/>
      <c r="K41" s="80"/>
      <c r="L41" s="80"/>
    </row>
    <row r="42" spans="1:15" x14ac:dyDescent="0.2">
      <c r="E42" s="80"/>
      <c r="F42" s="80"/>
      <c r="G42" s="80"/>
      <c r="H42" s="80"/>
      <c r="I42" s="80"/>
      <c r="J42" s="80"/>
      <c r="K42" s="80"/>
      <c r="L42" s="80"/>
    </row>
    <row r="43" spans="1:15" x14ac:dyDescent="0.2">
      <c r="E43" s="80"/>
      <c r="F43" s="80"/>
      <c r="G43" s="80"/>
      <c r="H43" s="80"/>
      <c r="I43" s="80"/>
      <c r="J43" s="80"/>
      <c r="K43" s="80"/>
      <c r="L43" s="80"/>
    </row>
    <row r="44" spans="1:15" x14ac:dyDescent="0.2">
      <c r="E44" s="80"/>
      <c r="F44" s="80"/>
      <c r="G44" s="80"/>
      <c r="H44" s="80"/>
      <c r="I44" s="80"/>
      <c r="J44" s="80"/>
      <c r="K44" s="80"/>
      <c r="L44" s="80"/>
    </row>
    <row r="45" spans="1:15" x14ac:dyDescent="0.2">
      <c r="E45" s="80"/>
      <c r="F45" s="80"/>
      <c r="G45" s="80"/>
      <c r="H45" s="80"/>
      <c r="I45" s="80"/>
      <c r="J45" s="80"/>
      <c r="K45" s="80"/>
      <c r="L45" s="80"/>
    </row>
    <row r="46" spans="1:15" x14ac:dyDescent="0.2">
      <c r="E46" s="80"/>
      <c r="F46" s="80"/>
      <c r="G46" s="80"/>
      <c r="H46" s="80"/>
      <c r="I46" s="80"/>
      <c r="J46" s="80"/>
      <c r="K46" s="80"/>
      <c r="L46" s="80"/>
    </row>
    <row r="47" spans="1:15" x14ac:dyDescent="0.2">
      <c r="E47" s="80"/>
      <c r="F47" s="80"/>
      <c r="G47" s="80"/>
      <c r="H47" s="80"/>
      <c r="I47" s="80"/>
      <c r="J47" s="80"/>
      <c r="K47" s="80"/>
      <c r="L47" s="80"/>
    </row>
    <row r="48" spans="1:15" x14ac:dyDescent="0.2">
      <c r="E48" s="80"/>
      <c r="F48" s="80"/>
      <c r="G48" s="80"/>
      <c r="H48" s="80"/>
      <c r="I48" s="80"/>
      <c r="J48" s="80"/>
      <c r="K48" s="80"/>
      <c r="L48" s="80"/>
    </row>
  </sheetData>
  <autoFilter ref="A6:L6" xr:uid="{1C9187A0-F598-0D4F-B2A1-FF97804542CE}">
    <filterColumn colId="4" showButton="0"/>
    <filterColumn colId="5" showButton="0"/>
    <filterColumn colId="6" showButton="0"/>
    <filterColumn colId="7" showButton="0"/>
    <filterColumn colId="8" showButton="0"/>
    <sortState xmlns:xlrd2="http://schemas.microsoft.com/office/spreadsheetml/2017/richdata2" ref="A7:L21">
      <sortCondition ref="A6:A21"/>
    </sortState>
  </autoFilter>
  <mergeCells count="12">
    <mergeCell ref="A22:L22"/>
    <mergeCell ref="K1:L1"/>
    <mergeCell ref="E6:J6"/>
    <mergeCell ref="E26:L26"/>
    <mergeCell ref="E27:L48"/>
    <mergeCell ref="F25:G25"/>
    <mergeCell ref="H25:L25"/>
    <mergeCell ref="A25:B25"/>
    <mergeCell ref="A23:C23"/>
    <mergeCell ref="E23:L23"/>
    <mergeCell ref="A24:C24"/>
    <mergeCell ref="E24:L24"/>
  </mergeCells>
  <conditionalFormatting sqref="A24 D24:E24">
    <cfRule type="expression" dxfId="185" priority="91">
      <formula>($D$24-$B$4)&gt;0</formula>
    </cfRule>
  </conditionalFormatting>
  <conditionalFormatting sqref="D23">
    <cfRule type="expression" dxfId="184" priority="86">
      <formula>ISERROR(SEARCH("-", $D$23))=TRUE</formula>
    </cfRule>
  </conditionalFormatting>
  <conditionalFormatting sqref="A15:A21">
    <cfRule type="expression" dxfId="183" priority="80">
      <formula>AND(C15&lt;&gt;"",A15="")</formula>
    </cfRule>
  </conditionalFormatting>
  <conditionalFormatting sqref="L7:L21">
    <cfRule type="containsText" dxfId="182" priority="57" operator="containsText" text="behind">
      <formula>NOT(ISERROR(SEARCH("behind",L7)))</formula>
    </cfRule>
    <cfRule type="containsText" dxfId="181" priority="58" operator="containsText" text="in progress">
      <formula>NOT(ISERROR(SEARCH("in progress",L7)))</formula>
    </cfRule>
    <cfRule type="containsText" dxfId="180" priority="59" operator="containsText" text="passt nicht">
      <formula>NOT(ISERROR(SEARCH("passt nicht",L7)))</formula>
    </cfRule>
    <cfRule type="containsText" dxfId="179" priority="60" operator="containsText" text="Fehler">
      <formula>NOT(ISERROR(SEARCH("Fehler",L7)))</formula>
    </cfRule>
    <cfRule type="containsText" dxfId="178" priority="61" operator="containsText" text="passt">
      <formula>NOT(ISERROR(SEARCH("passt",L7)))</formula>
    </cfRule>
    <cfRule type="containsText" dxfId="177" priority="62" operator="containsText" text="latest">
      <formula>NOT(ISERROR(SEARCH("latest",L7)))</formula>
    </cfRule>
  </conditionalFormatting>
  <conditionalFormatting sqref="K7:K21">
    <cfRule type="containsText" dxfId="176" priority="51" operator="containsText" text="behind">
      <formula>NOT(ISERROR(SEARCH("behind",K7)))</formula>
    </cfRule>
    <cfRule type="containsText" dxfId="175" priority="52" operator="containsText" text="in progress">
      <formula>NOT(ISERROR(SEARCH("in progress",K7)))</formula>
    </cfRule>
    <cfRule type="containsText" dxfId="174" priority="53" operator="containsText" text="passt nicht">
      <formula>NOT(ISERROR(SEARCH("passt nicht",K7)))</formula>
    </cfRule>
    <cfRule type="containsText" dxfId="173" priority="54" operator="containsText" text="Fehler">
      <formula>NOT(ISERROR(SEARCH("Fehler",K7)))</formula>
    </cfRule>
    <cfRule type="containsText" dxfId="172" priority="55" operator="containsText" text="passt">
      <formula>NOT(ISERROR(SEARCH("passt",K7)))</formula>
    </cfRule>
    <cfRule type="containsText" dxfId="171" priority="56" operator="containsText" text="latest">
      <formula>NOT(ISERROR(SEARCH("latest",K7)))</formula>
    </cfRule>
  </conditionalFormatting>
  <conditionalFormatting sqref="A10">
    <cfRule type="expression" dxfId="170" priority="35">
      <formula>AND(C10&lt;&gt;"",A10="")</formula>
    </cfRule>
  </conditionalFormatting>
  <conditionalFormatting sqref="A10:A14">
    <cfRule type="expression" dxfId="169" priority="34">
      <formula>AND(C10&lt;&gt;"",A10="")</formula>
    </cfRule>
  </conditionalFormatting>
  <conditionalFormatting sqref="A25 H25">
    <cfRule type="expression" dxfId="168" priority="23">
      <formula>$D$25&gt;=0</formula>
    </cfRule>
  </conditionalFormatting>
  <conditionalFormatting sqref="D25">
    <cfRule type="expression" dxfId="167" priority="22">
      <formula>$D$25&gt;=0</formula>
    </cfRule>
  </conditionalFormatting>
  <conditionalFormatting sqref="C25">
    <cfRule type="expression" dxfId="166" priority="21">
      <formula>$D$25&gt;=0</formula>
    </cfRule>
  </conditionalFormatting>
  <conditionalFormatting sqref="E25">
    <cfRule type="expression" dxfId="165" priority="20">
      <formula>$D$25&gt;=0</formula>
    </cfRule>
  </conditionalFormatting>
  <conditionalFormatting sqref="F25">
    <cfRule type="expression" dxfId="164" priority="19">
      <formula>$D$25&gt;=0</formula>
    </cfRule>
  </conditionalFormatting>
  <conditionalFormatting sqref="A10:A14">
    <cfRule type="expression" dxfId="163" priority="17">
      <formula>AND(C10&lt;&gt;"",A10="")</formula>
    </cfRule>
  </conditionalFormatting>
  <conditionalFormatting sqref="A8">
    <cfRule type="expression" dxfId="162" priority="4">
      <formula>AND(C8&lt;&gt;"",A8="")</formula>
    </cfRule>
  </conditionalFormatting>
  <conditionalFormatting sqref="A7">
    <cfRule type="expression" dxfId="161" priority="3">
      <formula>AND(C7&lt;&gt;"",A7="")</formula>
    </cfRule>
  </conditionalFormatting>
  <conditionalFormatting sqref="A7">
    <cfRule type="expression" dxfId="160" priority="2">
      <formula>AND(C7&lt;&gt;"",A7="")</formula>
    </cfRule>
  </conditionalFormatting>
  <conditionalFormatting sqref="A9">
    <cfRule type="expression" dxfId="159" priority="1">
      <formula>AND(C9&lt;&gt;"",A9="")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87F3F9-D077-D944-B319-7CB05DC3ACA2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5D5EBB83-FF46-5B40-B20F-7279E196495B}">
          <x14:formula1>
            <xm:f>'VBA-Settings'!$B$4:$B$54</xm:f>
          </x14:formula1>
          <xm:sqref>A7:A21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8B7C8-4954-ED49-BBBC-C5CFB93BDFC1}">
  <sheetPr codeName="Tabelle15"/>
  <dimension ref="A1:Z48"/>
  <sheetViews>
    <sheetView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26" ht="16" customHeight="1" x14ac:dyDescent="0.2">
      <c r="A1" s="34" t="s">
        <v>14</v>
      </c>
      <c r="B1" s="3"/>
      <c r="C1" s="28" t="s">
        <v>47</v>
      </c>
      <c r="D1" s="4"/>
      <c r="K1" s="76" t="s">
        <v>15</v>
      </c>
      <c r="L1" s="77"/>
      <c r="Z1" s="68"/>
    </row>
    <row r="2" spans="1:26" x14ac:dyDescent="0.2">
      <c r="A2" s="34" t="s">
        <v>16</v>
      </c>
      <c r="B2" s="30"/>
      <c r="C2" s="29" t="s">
        <v>48</v>
      </c>
      <c r="K2" s="6" t="s">
        <v>17</v>
      </c>
      <c r="L2" s="7" t="s">
        <v>18</v>
      </c>
    </row>
    <row r="3" spans="1:26" x14ac:dyDescent="0.2">
      <c r="A3" s="35" t="s">
        <v>19</v>
      </c>
      <c r="B3" s="5"/>
      <c r="K3" s="6" t="s">
        <v>20</v>
      </c>
      <c r="L3" s="7" t="s">
        <v>21</v>
      </c>
    </row>
    <row r="4" spans="1:26" ht="17" thickBot="1" x14ac:dyDescent="0.25">
      <c r="A4" s="35" t="s">
        <v>22</v>
      </c>
      <c r="B4" s="5">
        <v>0.33333333333333331</v>
      </c>
      <c r="K4" s="8" t="s">
        <v>23</v>
      </c>
      <c r="L4" s="9" t="s">
        <v>24</v>
      </c>
    </row>
    <row r="5" spans="1:26" x14ac:dyDescent="0.2">
      <c r="D5" s="4"/>
    </row>
    <row r="6" spans="1:26" x14ac:dyDescent="0.2">
      <c r="A6" s="36" t="s">
        <v>25</v>
      </c>
      <c r="B6" s="36" t="s">
        <v>26</v>
      </c>
      <c r="C6" s="36" t="s">
        <v>27</v>
      </c>
      <c r="D6" s="36" t="s">
        <v>28</v>
      </c>
      <c r="E6" s="78" t="s">
        <v>29</v>
      </c>
      <c r="F6" s="78"/>
      <c r="G6" s="78"/>
      <c r="H6" s="78"/>
      <c r="I6" s="78"/>
      <c r="J6" s="78"/>
      <c r="K6" s="36" t="s">
        <v>30</v>
      </c>
      <c r="L6" s="36" t="s">
        <v>31</v>
      </c>
    </row>
    <row r="7" spans="1:26" x14ac:dyDescent="0.2">
      <c r="A7" s="10"/>
      <c r="B7" s="11"/>
      <c r="C7" s="69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3"/>
      <c r="L7" s="33"/>
    </row>
    <row r="8" spans="1:26" x14ac:dyDescent="0.2">
      <c r="A8" s="10"/>
      <c r="B8" s="11"/>
      <c r="C8" s="73"/>
      <c r="D8" s="13">
        <f t="shared" si="0"/>
        <v>0</v>
      </c>
      <c r="E8" s="14"/>
      <c r="F8" s="14"/>
      <c r="G8" s="14"/>
      <c r="H8" s="14"/>
      <c r="I8" s="14"/>
      <c r="J8" s="14"/>
      <c r="K8" s="33"/>
      <c r="L8" s="33"/>
      <c r="M8" s="4"/>
    </row>
    <row r="9" spans="1:26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3"/>
      <c r="L9" s="33"/>
      <c r="M9" s="4"/>
    </row>
    <row r="10" spans="1:26" x14ac:dyDescent="0.2">
      <c r="A10" s="10"/>
      <c r="B10" s="11"/>
      <c r="C10" s="57"/>
      <c r="D10" s="13">
        <f t="shared" si="0"/>
        <v>0</v>
      </c>
      <c r="E10" s="14"/>
      <c r="F10" s="14"/>
      <c r="G10" s="14"/>
      <c r="H10" s="14"/>
      <c r="I10" s="14"/>
      <c r="J10" s="14"/>
      <c r="K10" s="33"/>
      <c r="L10" s="33"/>
    </row>
    <row r="11" spans="1:26" x14ac:dyDescent="0.2">
      <c r="A11" s="10"/>
      <c r="B11" s="11"/>
      <c r="C11" s="57"/>
      <c r="D11" s="13">
        <f t="shared" si="0"/>
        <v>0</v>
      </c>
      <c r="E11" s="14"/>
      <c r="F11" s="14"/>
      <c r="G11" s="14"/>
      <c r="H11" s="14"/>
      <c r="I11" s="14"/>
      <c r="J11" s="14"/>
      <c r="K11" s="33"/>
      <c r="L11" s="33"/>
    </row>
    <row r="12" spans="1:26" x14ac:dyDescent="0.2">
      <c r="A12" s="10"/>
      <c r="B12" s="11"/>
      <c r="C12" s="57"/>
      <c r="D12" s="13">
        <f t="shared" si="0"/>
        <v>0</v>
      </c>
      <c r="E12" s="14"/>
      <c r="F12" s="14"/>
      <c r="G12" s="14"/>
      <c r="H12" s="14"/>
      <c r="I12" s="14"/>
      <c r="J12" s="14"/>
      <c r="K12" s="33"/>
      <c r="L12" s="33"/>
    </row>
    <row r="13" spans="1:26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4"/>
      <c r="J13" s="14"/>
      <c r="K13" s="33"/>
      <c r="L13" s="33"/>
    </row>
    <row r="14" spans="1:26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4"/>
      <c r="K14" s="33"/>
      <c r="L14" s="33"/>
    </row>
    <row r="15" spans="1:26" x14ac:dyDescent="0.2">
      <c r="A15" s="10"/>
      <c r="B15" s="11"/>
      <c r="C15" s="69"/>
      <c r="D15" s="13">
        <f t="shared" si="0"/>
        <v>0</v>
      </c>
      <c r="E15" s="14"/>
      <c r="F15" s="14"/>
      <c r="G15" s="14"/>
      <c r="H15" s="14"/>
      <c r="I15" s="14"/>
      <c r="J15" s="14"/>
      <c r="K15" s="33"/>
      <c r="L15" s="33"/>
      <c r="M15" s="16"/>
      <c r="N15" s="17"/>
    </row>
    <row r="16" spans="1:26" x14ac:dyDescent="0.2">
      <c r="A16" s="10"/>
      <c r="B16" s="11"/>
      <c r="C16" s="12"/>
      <c r="D16" s="13">
        <f t="shared" si="0"/>
        <v>0</v>
      </c>
      <c r="E16" s="14"/>
      <c r="F16" s="14"/>
      <c r="G16" s="14"/>
      <c r="H16" s="14"/>
      <c r="I16" s="14"/>
      <c r="J16" s="14"/>
      <c r="K16" s="33"/>
      <c r="L16" s="33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4"/>
      <c r="I17" s="14"/>
      <c r="J17" s="14"/>
      <c r="K17" s="33"/>
      <c r="L17" s="33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4"/>
      <c r="J18" s="14"/>
      <c r="K18" s="33"/>
      <c r="L18" s="33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4"/>
      <c r="H19" s="14"/>
      <c r="I19" s="14"/>
      <c r="J19" s="14"/>
      <c r="K19" s="33"/>
      <c r="L19" s="33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4"/>
      <c r="H20" s="14"/>
      <c r="I20" s="14"/>
      <c r="J20" s="14"/>
      <c r="K20" s="33"/>
      <c r="L20" s="33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4"/>
      <c r="K21" s="33"/>
      <c r="L21" s="33"/>
      <c r="N21" s="4"/>
    </row>
    <row r="22" spans="1:14" x14ac:dyDescent="0.2">
      <c r="A22" s="93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5"/>
      <c r="N22" s="4"/>
    </row>
    <row r="23" spans="1:14" x14ac:dyDescent="0.2">
      <c r="A23" s="81"/>
      <c r="B23" s="82"/>
      <c r="C23" s="83"/>
      <c r="D23" s="31" t="str">
        <f ca="1">IF((MOD(NOW(),1)-B2-D24-B3)&lt; 0, "-" &amp; TEXT(ABS((MOD(NOW(),1)-B2-D24-B3)), "hh:mm"), TEXT((MOD(NOW(),1)-B2-D24-B3), "hh:mm"))</f>
        <v>10:42</v>
      </c>
      <c r="E23" s="84">
        <f ca="1">IF((MOD(NOW(),1)-B2-D24-B3)&lt;0, (MOD(NOW(),1)-B2-D24-B3) + 1, MOD(NOW(),1)-B2-D24-B3)</f>
        <v>0.44647129629447591</v>
      </c>
      <c r="F23" s="85"/>
      <c r="G23" s="85"/>
      <c r="H23" s="85"/>
      <c r="I23" s="85"/>
      <c r="J23" s="85"/>
      <c r="K23" s="85"/>
      <c r="L23" s="86"/>
      <c r="N23" s="4"/>
    </row>
    <row r="24" spans="1:14" x14ac:dyDescent="0.2">
      <c r="A24" s="87"/>
      <c r="B24" s="88"/>
      <c r="C24" s="89"/>
      <c r="D24" s="32">
        <f>SUM(D7:D21)</f>
        <v>0</v>
      </c>
      <c r="E24" s="87"/>
      <c r="F24" s="88"/>
      <c r="G24" s="88"/>
      <c r="H24" s="88"/>
      <c r="I24" s="88"/>
      <c r="J24" s="88"/>
      <c r="K24" s="88"/>
      <c r="L24" s="89"/>
      <c r="M24" s="16"/>
    </row>
    <row r="25" spans="1:14" x14ac:dyDescent="0.2">
      <c r="A25" s="90"/>
      <c r="B25" s="91"/>
      <c r="C25" s="63" t="s">
        <v>96</v>
      </c>
      <c r="D25" s="62">
        <f>Wochenübersicht!C7</f>
        <v>-16</v>
      </c>
      <c r="E25" s="64">
        <f ca="1">IF(D25&lt;0,NOW()-E23+((D25*-1)/24),"")</f>
        <v>46079.666666666664</v>
      </c>
      <c r="F25" s="90" t="str">
        <f>IF(B3&lt;TIME(0,29,0),"+ 30 min. break","")</f>
        <v>+ 30 min. break</v>
      </c>
      <c r="G25" s="91"/>
      <c r="H25" s="90"/>
      <c r="I25" s="92"/>
      <c r="J25" s="92"/>
      <c r="K25" s="92"/>
      <c r="L25" s="91"/>
    </row>
    <row r="26" spans="1:14" x14ac:dyDescent="0.2">
      <c r="E26" s="79" t="s">
        <v>32</v>
      </c>
      <c r="F26" s="79"/>
      <c r="G26" s="79"/>
      <c r="H26" s="79"/>
      <c r="I26" s="79"/>
      <c r="J26" s="79"/>
      <c r="K26" s="79"/>
      <c r="L26" s="79"/>
    </row>
    <row r="27" spans="1:14" ht="16" customHeight="1" x14ac:dyDescent="0.2">
      <c r="E27" s="80"/>
      <c r="F27" s="80"/>
      <c r="G27" s="80"/>
      <c r="H27" s="80"/>
      <c r="I27" s="80"/>
      <c r="J27" s="80"/>
      <c r="K27" s="80"/>
      <c r="L27" s="80"/>
    </row>
    <row r="28" spans="1:14" x14ac:dyDescent="0.2">
      <c r="D28" s="16"/>
      <c r="E28" s="80"/>
      <c r="F28" s="80"/>
      <c r="G28" s="80"/>
      <c r="H28" s="80"/>
      <c r="I28" s="80"/>
      <c r="J28" s="80"/>
      <c r="K28" s="80"/>
      <c r="L28" s="80"/>
    </row>
    <row r="29" spans="1:14" x14ac:dyDescent="0.2">
      <c r="E29" s="80"/>
      <c r="F29" s="80"/>
      <c r="G29" s="80"/>
      <c r="H29" s="80"/>
      <c r="I29" s="80"/>
      <c r="J29" s="80"/>
      <c r="K29" s="80"/>
      <c r="L29" s="80"/>
    </row>
    <row r="30" spans="1:14" x14ac:dyDescent="0.2">
      <c r="E30" s="80"/>
      <c r="F30" s="80"/>
      <c r="G30" s="80"/>
      <c r="H30" s="80"/>
      <c r="I30" s="80"/>
      <c r="J30" s="80"/>
      <c r="K30" s="80"/>
      <c r="L30" s="80"/>
    </row>
    <row r="31" spans="1:14" x14ac:dyDescent="0.2">
      <c r="E31" s="80"/>
      <c r="F31" s="80"/>
      <c r="G31" s="80"/>
      <c r="H31" s="80"/>
      <c r="I31" s="80"/>
      <c r="J31" s="80"/>
      <c r="K31" s="80"/>
      <c r="L31" s="80"/>
    </row>
    <row r="32" spans="1:14" x14ac:dyDescent="0.2">
      <c r="E32" s="80"/>
      <c r="F32" s="80"/>
      <c r="G32" s="80"/>
      <c r="H32" s="80"/>
      <c r="I32" s="80"/>
      <c r="J32" s="80"/>
      <c r="K32" s="80"/>
      <c r="L32" s="80"/>
    </row>
    <row r="33" spans="4:15" x14ac:dyDescent="0.2">
      <c r="D33" s="16"/>
      <c r="E33" s="80"/>
      <c r="F33" s="80"/>
      <c r="G33" s="80"/>
      <c r="H33" s="80"/>
      <c r="I33" s="80"/>
      <c r="J33" s="80"/>
      <c r="K33" s="80"/>
      <c r="L33" s="80"/>
    </row>
    <row r="34" spans="4:15" x14ac:dyDescent="0.2">
      <c r="D34" s="17"/>
      <c r="E34" s="80"/>
      <c r="F34" s="80"/>
      <c r="G34" s="80"/>
      <c r="H34" s="80"/>
      <c r="I34" s="80"/>
      <c r="J34" s="80"/>
      <c r="K34" s="80"/>
      <c r="L34" s="80"/>
    </row>
    <row r="35" spans="4:15" x14ac:dyDescent="0.2">
      <c r="E35" s="80"/>
      <c r="F35" s="80"/>
      <c r="G35" s="80"/>
      <c r="H35" s="80"/>
      <c r="I35" s="80"/>
      <c r="J35" s="80"/>
      <c r="K35" s="80"/>
      <c r="L35" s="80"/>
    </row>
    <row r="36" spans="4:15" x14ac:dyDescent="0.2">
      <c r="E36" s="80"/>
      <c r="F36" s="80"/>
      <c r="G36" s="80"/>
      <c r="H36" s="80"/>
      <c r="I36" s="80"/>
      <c r="J36" s="80"/>
      <c r="K36" s="80"/>
      <c r="L36" s="80"/>
      <c r="O36" s="19"/>
    </row>
    <row r="37" spans="4:15" x14ac:dyDescent="0.2">
      <c r="E37" s="80"/>
      <c r="F37" s="80"/>
      <c r="G37" s="80"/>
      <c r="H37" s="80"/>
      <c r="I37" s="80"/>
      <c r="J37" s="80"/>
      <c r="K37" s="80"/>
      <c r="L37" s="80"/>
    </row>
    <row r="38" spans="4:15" x14ac:dyDescent="0.2">
      <c r="E38" s="80"/>
      <c r="F38" s="80"/>
      <c r="G38" s="80"/>
      <c r="H38" s="80"/>
      <c r="I38" s="80"/>
      <c r="J38" s="80"/>
      <c r="K38" s="80"/>
      <c r="L38" s="80"/>
    </row>
    <row r="39" spans="4:15" x14ac:dyDescent="0.2">
      <c r="E39" s="80"/>
      <c r="F39" s="80"/>
      <c r="G39" s="80"/>
      <c r="H39" s="80"/>
      <c r="I39" s="80"/>
      <c r="J39" s="80"/>
      <c r="K39" s="80"/>
      <c r="L39" s="80"/>
    </row>
    <row r="40" spans="4:15" x14ac:dyDescent="0.2">
      <c r="E40" s="80"/>
      <c r="F40" s="80"/>
      <c r="G40" s="80"/>
      <c r="H40" s="80"/>
      <c r="I40" s="80"/>
      <c r="J40" s="80"/>
      <c r="K40" s="80"/>
      <c r="L40" s="80"/>
    </row>
    <row r="41" spans="4:15" x14ac:dyDescent="0.2">
      <c r="E41" s="80"/>
      <c r="F41" s="80"/>
      <c r="G41" s="80"/>
      <c r="H41" s="80"/>
      <c r="I41" s="80"/>
      <c r="J41" s="80"/>
      <c r="K41" s="80"/>
      <c r="L41" s="80"/>
    </row>
    <row r="42" spans="4:15" x14ac:dyDescent="0.2">
      <c r="E42" s="80"/>
      <c r="F42" s="80"/>
      <c r="G42" s="80"/>
      <c r="H42" s="80"/>
      <c r="I42" s="80"/>
      <c r="J42" s="80"/>
      <c r="K42" s="80"/>
      <c r="L42" s="80"/>
    </row>
    <row r="43" spans="4:15" x14ac:dyDescent="0.2">
      <c r="E43" s="80"/>
      <c r="F43" s="80"/>
      <c r="G43" s="80"/>
      <c r="H43" s="80"/>
      <c r="I43" s="80"/>
      <c r="J43" s="80"/>
      <c r="K43" s="80"/>
      <c r="L43" s="80"/>
    </row>
    <row r="44" spans="4:15" x14ac:dyDescent="0.2">
      <c r="E44" s="80"/>
      <c r="F44" s="80"/>
      <c r="G44" s="80"/>
      <c r="H44" s="80"/>
      <c r="I44" s="80"/>
      <c r="J44" s="80"/>
      <c r="K44" s="80"/>
      <c r="L44" s="80"/>
    </row>
    <row r="45" spans="4:15" x14ac:dyDescent="0.2">
      <c r="E45" s="80"/>
      <c r="F45" s="80"/>
      <c r="G45" s="80"/>
      <c r="H45" s="80"/>
      <c r="I45" s="80"/>
      <c r="J45" s="80"/>
      <c r="K45" s="80"/>
      <c r="L45" s="80"/>
    </row>
    <row r="46" spans="4:15" x14ac:dyDescent="0.2">
      <c r="E46" s="80"/>
      <c r="F46" s="80"/>
      <c r="G46" s="80"/>
      <c r="H46" s="80"/>
      <c r="I46" s="80"/>
      <c r="J46" s="80"/>
      <c r="K46" s="80"/>
      <c r="L46" s="80"/>
    </row>
    <row r="47" spans="4:15" x14ac:dyDescent="0.2">
      <c r="E47" s="80"/>
      <c r="F47" s="80"/>
      <c r="G47" s="80"/>
      <c r="H47" s="80"/>
      <c r="I47" s="80"/>
      <c r="J47" s="80"/>
      <c r="K47" s="80"/>
      <c r="L47" s="80"/>
    </row>
    <row r="48" spans="4:15" x14ac:dyDescent="0.2">
      <c r="E48" s="80"/>
      <c r="F48" s="80"/>
      <c r="G48" s="80"/>
      <c r="H48" s="80"/>
      <c r="I48" s="80"/>
      <c r="J48" s="80"/>
      <c r="K48" s="80"/>
      <c r="L48" s="80"/>
    </row>
  </sheetData>
  <autoFilter ref="A6:L6" xr:uid="{99D8B7C8-4954-ED49-BBBC-C5CFB93BDFC1}">
    <filterColumn colId="4" showButton="0"/>
    <filterColumn colId="5" showButton="0"/>
    <filterColumn colId="6" showButton="0"/>
    <filterColumn colId="7" showButton="0"/>
    <filterColumn colId="8" showButton="0"/>
    <sortState xmlns:xlrd2="http://schemas.microsoft.com/office/spreadsheetml/2017/richdata2" ref="A7:L21">
      <sortCondition descending="1" ref="B6:B21"/>
    </sortState>
  </autoFilter>
  <mergeCells count="12">
    <mergeCell ref="K1:L1"/>
    <mergeCell ref="E6:J6"/>
    <mergeCell ref="E26:L26"/>
    <mergeCell ref="E27:L48"/>
    <mergeCell ref="A23:C23"/>
    <mergeCell ref="E23:L23"/>
    <mergeCell ref="A24:C24"/>
    <mergeCell ref="E24:L24"/>
    <mergeCell ref="A25:B25"/>
    <mergeCell ref="F25:G25"/>
    <mergeCell ref="H25:L25"/>
    <mergeCell ref="A22:L22"/>
  </mergeCells>
  <conditionalFormatting sqref="L14:L21">
    <cfRule type="containsText" dxfId="158" priority="112" operator="containsText" text="behind">
      <formula>NOT(ISERROR(SEARCH("behind",L14)))</formula>
    </cfRule>
    <cfRule type="containsText" dxfId="157" priority="113" operator="containsText" text="in progress">
      <formula>NOT(ISERROR(SEARCH("in progress",L14)))</formula>
    </cfRule>
    <cfRule type="containsText" dxfId="156" priority="115" operator="containsText" text="passt nicht">
      <formula>NOT(ISERROR(SEARCH("passt nicht",L14)))</formula>
    </cfRule>
    <cfRule type="containsText" dxfId="155" priority="116" operator="containsText" text="Fehler">
      <formula>NOT(ISERROR(SEARCH("Fehler",L14)))</formula>
    </cfRule>
    <cfRule type="containsText" dxfId="154" priority="117" operator="containsText" text="passt">
      <formula>NOT(ISERROR(SEARCH("passt",L14)))</formula>
    </cfRule>
    <cfRule type="containsText" dxfId="153" priority="118" operator="containsText" text="latest">
      <formula>NOT(ISERROR(SEARCH("latest",L14)))</formula>
    </cfRule>
  </conditionalFormatting>
  <conditionalFormatting sqref="K7:K21">
    <cfRule type="containsText" dxfId="152" priority="106" operator="containsText" text="behind">
      <formula>NOT(ISERROR(SEARCH("behind",K7)))</formula>
    </cfRule>
    <cfRule type="containsText" dxfId="151" priority="107" operator="containsText" text="in progress">
      <formula>NOT(ISERROR(SEARCH("in progress",K7)))</formula>
    </cfRule>
    <cfRule type="containsText" dxfId="150" priority="108" operator="containsText" text="passt nicht">
      <formula>NOT(ISERROR(SEARCH("passt nicht",K7)))</formula>
    </cfRule>
    <cfRule type="containsText" dxfId="149" priority="109" operator="containsText" text="Fehler">
      <formula>NOT(ISERROR(SEARCH("Fehler",K7)))</formula>
    </cfRule>
    <cfRule type="containsText" dxfId="148" priority="110" operator="containsText" text="passt">
      <formula>NOT(ISERROR(SEARCH("passt",K7)))</formula>
    </cfRule>
    <cfRule type="containsText" dxfId="147" priority="111" operator="containsText" text="latest">
      <formula>NOT(ISERROR(SEARCH("latest",K7)))</formula>
    </cfRule>
  </conditionalFormatting>
  <conditionalFormatting sqref="A24 D24:E24">
    <cfRule type="expression" dxfId="146" priority="82">
      <formula>($D$24-$B$4)&gt;0</formula>
    </cfRule>
  </conditionalFormatting>
  <conditionalFormatting sqref="D23">
    <cfRule type="expression" dxfId="145" priority="81">
      <formula>ISERROR(SEARCH("-", $D$23))=TRUE</formula>
    </cfRule>
  </conditionalFormatting>
  <conditionalFormatting sqref="A25 H25">
    <cfRule type="expression" dxfId="144" priority="75">
      <formula>$D$25&gt;=0</formula>
    </cfRule>
  </conditionalFormatting>
  <conditionalFormatting sqref="D25">
    <cfRule type="expression" dxfId="143" priority="74">
      <formula>$D$25&gt;=0</formula>
    </cfRule>
  </conditionalFormatting>
  <conditionalFormatting sqref="C25">
    <cfRule type="expression" dxfId="142" priority="73">
      <formula>$D$25&gt;=0</formula>
    </cfRule>
  </conditionalFormatting>
  <conditionalFormatting sqref="E25">
    <cfRule type="expression" dxfId="141" priority="72">
      <formula>$D$25&gt;=0</formula>
    </cfRule>
  </conditionalFormatting>
  <conditionalFormatting sqref="F25">
    <cfRule type="expression" dxfId="140" priority="71">
      <formula>$D$25&gt;=0</formula>
    </cfRule>
  </conditionalFormatting>
  <conditionalFormatting sqref="L7:L13">
    <cfRule type="containsText" dxfId="139" priority="56" operator="containsText" text="behind">
      <formula>NOT(ISERROR(SEARCH("behind",L7)))</formula>
    </cfRule>
    <cfRule type="containsText" dxfId="138" priority="57" operator="containsText" text="in progress">
      <formula>NOT(ISERROR(SEARCH("in progress",L7)))</formula>
    </cfRule>
    <cfRule type="containsText" dxfId="137" priority="58" operator="containsText" text="passt nicht">
      <formula>NOT(ISERROR(SEARCH("passt nicht",L7)))</formula>
    </cfRule>
    <cfRule type="containsText" dxfId="136" priority="59" operator="containsText" text="Fehler">
      <formula>NOT(ISERROR(SEARCH("Fehler",L7)))</formula>
    </cfRule>
    <cfRule type="containsText" dxfId="135" priority="60" operator="containsText" text="passt">
      <formula>NOT(ISERROR(SEARCH("passt",L7)))</formula>
    </cfRule>
    <cfRule type="containsText" dxfId="134" priority="61" operator="containsText" text="latest">
      <formula>NOT(ISERROR(SEARCH("latest",L7)))</formula>
    </cfRule>
  </conditionalFormatting>
  <conditionalFormatting sqref="A15:A21">
    <cfRule type="expression" dxfId="133" priority="9">
      <formula>AND(C15&lt;&gt;"",A15="")</formula>
    </cfRule>
  </conditionalFormatting>
  <conditionalFormatting sqref="A10">
    <cfRule type="expression" dxfId="132" priority="8">
      <formula>AND(C10&lt;&gt;"",A10="")</formula>
    </cfRule>
  </conditionalFormatting>
  <conditionalFormatting sqref="A9:A14">
    <cfRule type="expression" dxfId="131" priority="7">
      <formula>AND(C9&lt;&gt;"",A9="")</formula>
    </cfRule>
  </conditionalFormatting>
  <conditionalFormatting sqref="A9:A14">
    <cfRule type="expression" dxfId="130" priority="6">
      <formula>AND(C9&lt;&gt;"",A9="")</formula>
    </cfRule>
  </conditionalFormatting>
  <conditionalFormatting sqref="A8">
    <cfRule type="expression" dxfId="129" priority="5">
      <formula>AND(C8&lt;&gt;"",A8="")</formula>
    </cfRule>
  </conditionalFormatting>
  <conditionalFormatting sqref="A7">
    <cfRule type="expression" dxfId="128" priority="2">
      <formula>AND(C7&lt;&gt;"",A7="")</formula>
    </cfRule>
  </conditionalFormatting>
  <conditionalFormatting sqref="A7">
    <cfRule type="expression" dxfId="127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D08F896-BD26-9E47-A9F8-13B1772E22DD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ECFE495F-7BF9-844B-ABBE-125393DD7B46}">
          <x14:formula1>
            <xm:f>'VBA-Settings'!$D$4:$D$54</xm:f>
          </x14:formula1>
          <xm:sqref>B7:B21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64D05-3B85-E04D-98AF-AD68E706E642}">
  <sheetPr codeName="Tabelle18"/>
  <dimension ref="A1:Z48"/>
  <sheetViews>
    <sheetView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26" x14ac:dyDescent="0.2">
      <c r="A1" s="34" t="s">
        <v>14</v>
      </c>
      <c r="B1" s="3"/>
      <c r="C1" s="28" t="s">
        <v>47</v>
      </c>
      <c r="D1" s="4"/>
      <c r="K1" s="76" t="s">
        <v>15</v>
      </c>
      <c r="L1" s="77"/>
      <c r="Z1" s="68"/>
    </row>
    <row r="2" spans="1:26" x14ac:dyDescent="0.2">
      <c r="A2" s="34" t="s">
        <v>16</v>
      </c>
      <c r="B2" s="30"/>
      <c r="C2" s="29" t="s">
        <v>48</v>
      </c>
      <c r="K2" s="6" t="s">
        <v>17</v>
      </c>
      <c r="L2" s="7" t="s">
        <v>18</v>
      </c>
    </row>
    <row r="3" spans="1:26" x14ac:dyDescent="0.2">
      <c r="A3" s="35" t="s">
        <v>19</v>
      </c>
      <c r="B3" s="5"/>
      <c r="K3" s="6" t="s">
        <v>20</v>
      </c>
      <c r="L3" s="7" t="s">
        <v>21</v>
      </c>
    </row>
    <row r="4" spans="1:26" ht="17" thickBot="1" x14ac:dyDescent="0.25">
      <c r="A4" s="35" t="s">
        <v>22</v>
      </c>
      <c r="B4" s="5">
        <v>0.33333333333333331</v>
      </c>
      <c r="D4" s="4"/>
      <c r="E4" s="4"/>
      <c r="K4" s="8" t="s">
        <v>23</v>
      </c>
      <c r="L4" s="9" t="s">
        <v>24</v>
      </c>
    </row>
    <row r="6" spans="1:26" x14ac:dyDescent="0.2">
      <c r="A6" s="36" t="s">
        <v>25</v>
      </c>
      <c r="B6" s="36" t="s">
        <v>26</v>
      </c>
      <c r="C6" s="36" t="s">
        <v>27</v>
      </c>
      <c r="D6" s="36" t="s">
        <v>28</v>
      </c>
      <c r="E6" s="78" t="s">
        <v>29</v>
      </c>
      <c r="F6" s="78"/>
      <c r="G6" s="78"/>
      <c r="H6" s="78"/>
      <c r="I6" s="78"/>
      <c r="J6" s="78"/>
      <c r="K6" s="36" t="s">
        <v>30</v>
      </c>
      <c r="L6" s="36" t="s">
        <v>31</v>
      </c>
    </row>
    <row r="7" spans="1:26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3"/>
      <c r="L7" s="33"/>
    </row>
    <row r="8" spans="1:26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5"/>
      <c r="K8" s="33"/>
      <c r="L8" s="33"/>
      <c r="M8" s="4"/>
    </row>
    <row r="9" spans="1:26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3"/>
      <c r="L9" s="33"/>
      <c r="M9" s="4"/>
    </row>
    <row r="10" spans="1:26" x14ac:dyDescent="0.2">
      <c r="A10" s="10"/>
      <c r="B10" s="11"/>
      <c r="C10" s="69"/>
      <c r="D10" s="13">
        <f t="shared" si="0"/>
        <v>0</v>
      </c>
      <c r="E10" s="14"/>
      <c r="F10" s="14"/>
      <c r="G10" s="14"/>
      <c r="H10" s="14"/>
      <c r="I10" s="14"/>
      <c r="J10" s="15"/>
      <c r="K10" s="33"/>
      <c r="L10" s="33"/>
    </row>
    <row r="11" spans="1:26" x14ac:dyDescent="0.2">
      <c r="A11" s="10"/>
      <c r="B11" s="11"/>
      <c r="C11" s="69"/>
      <c r="D11" s="13">
        <f t="shared" si="0"/>
        <v>0</v>
      </c>
      <c r="E11" s="14"/>
      <c r="F11" s="14"/>
      <c r="G11" s="14"/>
      <c r="H11" s="14"/>
      <c r="I11" s="14"/>
      <c r="J11" s="14"/>
      <c r="K11" s="33"/>
      <c r="L11" s="33"/>
    </row>
    <row r="12" spans="1:26" x14ac:dyDescent="0.2">
      <c r="A12" s="10"/>
      <c r="B12" s="11"/>
      <c r="C12" s="57"/>
      <c r="D12" s="13">
        <f t="shared" si="0"/>
        <v>0</v>
      </c>
      <c r="E12" s="14"/>
      <c r="F12" s="14"/>
      <c r="G12" s="14"/>
      <c r="H12" s="14"/>
      <c r="I12" s="14"/>
      <c r="J12" s="14"/>
      <c r="K12" s="33"/>
      <c r="L12" s="33"/>
    </row>
    <row r="13" spans="1:26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3"/>
      <c r="L13" s="33"/>
    </row>
    <row r="14" spans="1:26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3"/>
      <c r="L14" s="33"/>
    </row>
    <row r="15" spans="1:26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4"/>
      <c r="I15" s="14"/>
      <c r="J15" s="14"/>
      <c r="K15" s="33"/>
      <c r="L15" s="33"/>
      <c r="M15" s="16"/>
      <c r="N15" s="17"/>
    </row>
    <row r="16" spans="1:26" x14ac:dyDescent="0.2">
      <c r="A16" s="10"/>
      <c r="B16" s="11"/>
      <c r="C16" s="75"/>
      <c r="D16" s="13">
        <f t="shared" si="0"/>
        <v>0</v>
      </c>
      <c r="E16" s="14"/>
      <c r="F16" s="14"/>
      <c r="G16" s="14"/>
      <c r="H16" s="14"/>
      <c r="I16" s="14"/>
      <c r="J16" s="14"/>
      <c r="K16" s="33"/>
      <c r="L16" s="33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4"/>
      <c r="I17" s="14"/>
      <c r="J17" s="14"/>
      <c r="K17" s="33"/>
      <c r="L17" s="33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3"/>
      <c r="L18" s="33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3"/>
      <c r="L19" s="33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3"/>
      <c r="L20" s="33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3"/>
      <c r="L21" s="33"/>
      <c r="N21" s="4"/>
    </row>
    <row r="22" spans="1:14" x14ac:dyDescent="0.2">
      <c r="A22" s="93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5"/>
      <c r="N22" s="4"/>
    </row>
    <row r="23" spans="1:14" x14ac:dyDescent="0.2">
      <c r="A23" s="81"/>
      <c r="B23" s="82"/>
      <c r="C23" s="83"/>
      <c r="D23" s="31" t="str">
        <f ca="1">IF((MOD(NOW(),1)-B2-D24-B3)&lt; 0, "-" &amp; TEXT(ABS((MOD(NOW(),1)-B2-D24-B3)), "hh:mm"), TEXT((MOD(NOW(),1)-B2-D24-B3), "hh:mm"))</f>
        <v>10:42</v>
      </c>
      <c r="E23" s="84">
        <f ca="1">IF((MOD(NOW(),1)-B2-D24-B3)&lt;0, (MOD(NOW(),1)-B2-D24-B3) + 1, MOD(NOW(),1)-B2-D24-B3)</f>
        <v>0.44647129629447591</v>
      </c>
      <c r="F23" s="85"/>
      <c r="G23" s="85"/>
      <c r="H23" s="85"/>
      <c r="I23" s="85"/>
      <c r="J23" s="85"/>
      <c r="K23" s="85"/>
      <c r="L23" s="86"/>
      <c r="N23" s="4"/>
    </row>
    <row r="24" spans="1:14" x14ac:dyDescent="0.2">
      <c r="A24" s="87"/>
      <c r="B24" s="88"/>
      <c r="C24" s="89"/>
      <c r="D24" s="32">
        <f>SUM(D7:D21)</f>
        <v>0</v>
      </c>
      <c r="E24" s="87"/>
      <c r="F24" s="88"/>
      <c r="G24" s="88"/>
      <c r="H24" s="88"/>
      <c r="I24" s="88"/>
      <c r="J24" s="88"/>
      <c r="K24" s="88"/>
      <c r="L24" s="89"/>
      <c r="M24" s="16"/>
    </row>
    <row r="25" spans="1:14" x14ac:dyDescent="0.2">
      <c r="A25" s="90"/>
      <c r="B25" s="91"/>
      <c r="C25" s="63" t="s">
        <v>96</v>
      </c>
      <c r="D25" s="62">
        <f>Wochenübersicht!D7</f>
        <v>-24</v>
      </c>
      <c r="E25" s="64">
        <f ca="1">IF(D25&lt;0,NOW()-E23+((D25*-1)/24),"")</f>
        <v>46080</v>
      </c>
      <c r="F25" s="90" t="str">
        <f>IF(B3&lt;TIME(0,29,0),"+ 30 min. break","")</f>
        <v>+ 30 min. break</v>
      </c>
      <c r="G25" s="91"/>
      <c r="H25" s="90"/>
      <c r="I25" s="92"/>
      <c r="J25" s="92"/>
      <c r="K25" s="92"/>
      <c r="L25" s="91"/>
    </row>
    <row r="26" spans="1:14" x14ac:dyDescent="0.2">
      <c r="D26" s="61"/>
      <c r="E26" s="79" t="s">
        <v>32</v>
      </c>
      <c r="F26" s="79"/>
      <c r="G26" s="79"/>
      <c r="H26" s="79"/>
      <c r="I26" s="79"/>
      <c r="J26" s="79"/>
      <c r="K26" s="79"/>
      <c r="L26" s="79"/>
    </row>
    <row r="27" spans="1:14" ht="16" customHeight="1" x14ac:dyDescent="0.2">
      <c r="E27" s="80"/>
      <c r="F27" s="80"/>
      <c r="G27" s="80"/>
      <c r="H27" s="80"/>
      <c r="I27" s="80"/>
      <c r="J27" s="80"/>
      <c r="K27" s="80"/>
      <c r="L27" s="80"/>
    </row>
    <row r="28" spans="1:14" x14ac:dyDescent="0.2">
      <c r="D28" s="16"/>
      <c r="E28" s="80"/>
      <c r="F28" s="80"/>
      <c r="G28" s="80"/>
      <c r="H28" s="80"/>
      <c r="I28" s="80"/>
      <c r="J28" s="80"/>
      <c r="K28" s="80"/>
      <c r="L28" s="80"/>
    </row>
    <row r="29" spans="1:14" x14ac:dyDescent="0.2">
      <c r="E29" s="80"/>
      <c r="F29" s="80"/>
      <c r="G29" s="80"/>
      <c r="H29" s="80"/>
      <c r="I29" s="80"/>
      <c r="J29" s="80"/>
      <c r="K29" s="80"/>
      <c r="L29" s="80"/>
    </row>
    <row r="30" spans="1:14" x14ac:dyDescent="0.2">
      <c r="E30" s="80"/>
      <c r="F30" s="80"/>
      <c r="G30" s="80"/>
      <c r="H30" s="80"/>
      <c r="I30" s="80"/>
      <c r="J30" s="80"/>
      <c r="K30" s="80"/>
      <c r="L30" s="80"/>
    </row>
    <row r="31" spans="1:14" x14ac:dyDescent="0.2">
      <c r="E31" s="80"/>
      <c r="F31" s="80"/>
      <c r="G31" s="80"/>
      <c r="H31" s="80"/>
      <c r="I31" s="80"/>
      <c r="J31" s="80"/>
      <c r="K31" s="80"/>
      <c r="L31" s="80"/>
    </row>
    <row r="32" spans="1:14" x14ac:dyDescent="0.2">
      <c r="E32" s="80"/>
      <c r="F32" s="80"/>
      <c r="G32" s="80"/>
      <c r="H32" s="80"/>
      <c r="I32" s="80"/>
      <c r="J32" s="80"/>
      <c r="K32" s="80"/>
      <c r="L32" s="80"/>
    </row>
    <row r="33" spans="4:15" x14ac:dyDescent="0.2">
      <c r="D33" s="16"/>
      <c r="E33" s="80"/>
      <c r="F33" s="80"/>
      <c r="G33" s="80"/>
      <c r="H33" s="80"/>
      <c r="I33" s="80"/>
      <c r="J33" s="80"/>
      <c r="K33" s="80"/>
      <c r="L33" s="80"/>
    </row>
    <row r="34" spans="4:15" x14ac:dyDescent="0.2">
      <c r="D34" s="17"/>
      <c r="E34" s="80"/>
      <c r="F34" s="80"/>
      <c r="G34" s="80"/>
      <c r="H34" s="80"/>
      <c r="I34" s="80"/>
      <c r="J34" s="80"/>
      <c r="K34" s="80"/>
      <c r="L34" s="80"/>
    </row>
    <row r="35" spans="4:15" x14ac:dyDescent="0.2">
      <c r="E35" s="80"/>
      <c r="F35" s="80"/>
      <c r="G35" s="80"/>
      <c r="H35" s="80"/>
      <c r="I35" s="80"/>
      <c r="J35" s="80"/>
      <c r="K35" s="80"/>
      <c r="L35" s="80"/>
    </row>
    <row r="36" spans="4:15" x14ac:dyDescent="0.2">
      <c r="E36" s="80"/>
      <c r="F36" s="80"/>
      <c r="G36" s="80"/>
      <c r="H36" s="80"/>
      <c r="I36" s="80"/>
      <c r="J36" s="80"/>
      <c r="K36" s="80"/>
      <c r="L36" s="80"/>
      <c r="O36" s="19"/>
    </row>
    <row r="37" spans="4:15" x14ac:dyDescent="0.2">
      <c r="E37" s="80"/>
      <c r="F37" s="80"/>
      <c r="G37" s="80"/>
      <c r="H37" s="80"/>
      <c r="I37" s="80"/>
      <c r="J37" s="80"/>
      <c r="K37" s="80"/>
      <c r="L37" s="80"/>
    </row>
    <row r="38" spans="4:15" x14ac:dyDescent="0.2">
      <c r="E38" s="80"/>
      <c r="F38" s="80"/>
      <c r="G38" s="80"/>
      <c r="H38" s="80"/>
      <c r="I38" s="80"/>
      <c r="J38" s="80"/>
      <c r="K38" s="80"/>
      <c r="L38" s="80"/>
    </row>
    <row r="39" spans="4:15" x14ac:dyDescent="0.2">
      <c r="E39" s="80"/>
      <c r="F39" s="80"/>
      <c r="G39" s="80"/>
      <c r="H39" s="80"/>
      <c r="I39" s="80"/>
      <c r="J39" s="80"/>
      <c r="K39" s="80"/>
      <c r="L39" s="80"/>
    </row>
    <row r="40" spans="4:15" x14ac:dyDescent="0.2">
      <c r="E40" s="80"/>
      <c r="F40" s="80"/>
      <c r="G40" s="80"/>
      <c r="H40" s="80"/>
      <c r="I40" s="80"/>
      <c r="J40" s="80"/>
      <c r="K40" s="80"/>
      <c r="L40" s="80"/>
    </row>
    <row r="41" spans="4:15" x14ac:dyDescent="0.2">
      <c r="E41" s="80"/>
      <c r="F41" s="80"/>
      <c r="G41" s="80"/>
      <c r="H41" s="80"/>
      <c r="I41" s="80"/>
      <c r="J41" s="80"/>
      <c r="K41" s="80"/>
      <c r="L41" s="80"/>
    </row>
    <row r="42" spans="4:15" x14ac:dyDescent="0.2">
      <c r="E42" s="80"/>
      <c r="F42" s="80"/>
      <c r="G42" s="80"/>
      <c r="H42" s="80"/>
      <c r="I42" s="80"/>
      <c r="J42" s="80"/>
      <c r="K42" s="80"/>
      <c r="L42" s="80"/>
    </row>
    <row r="43" spans="4:15" x14ac:dyDescent="0.2">
      <c r="E43" s="80"/>
      <c r="F43" s="80"/>
      <c r="G43" s="80"/>
      <c r="H43" s="80"/>
      <c r="I43" s="80"/>
      <c r="J43" s="80"/>
      <c r="K43" s="80"/>
      <c r="L43" s="80"/>
    </row>
    <row r="44" spans="4:15" x14ac:dyDescent="0.2">
      <c r="E44" s="80"/>
      <c r="F44" s="80"/>
      <c r="G44" s="80"/>
      <c r="H44" s="80"/>
      <c r="I44" s="80"/>
      <c r="J44" s="80"/>
      <c r="K44" s="80"/>
      <c r="L44" s="80"/>
    </row>
    <row r="45" spans="4:15" x14ac:dyDescent="0.2">
      <c r="E45" s="80"/>
      <c r="F45" s="80"/>
      <c r="G45" s="80"/>
      <c r="H45" s="80"/>
      <c r="I45" s="80"/>
      <c r="J45" s="80"/>
      <c r="K45" s="80"/>
      <c r="L45" s="80"/>
    </row>
    <row r="46" spans="4:15" x14ac:dyDescent="0.2">
      <c r="E46" s="80"/>
      <c r="F46" s="80"/>
      <c r="G46" s="80"/>
      <c r="H46" s="80"/>
      <c r="I46" s="80"/>
      <c r="J46" s="80"/>
      <c r="K46" s="80"/>
      <c r="L46" s="80"/>
    </row>
    <row r="47" spans="4:15" x14ac:dyDescent="0.2">
      <c r="E47" s="80"/>
      <c r="F47" s="80"/>
      <c r="G47" s="80"/>
      <c r="H47" s="80"/>
      <c r="I47" s="80"/>
      <c r="J47" s="80"/>
      <c r="K47" s="80"/>
      <c r="L47" s="80"/>
    </row>
    <row r="48" spans="4:15" x14ac:dyDescent="0.2">
      <c r="E48" s="80"/>
      <c r="F48" s="80"/>
      <c r="G48" s="80"/>
      <c r="H48" s="80"/>
      <c r="I48" s="80"/>
      <c r="J48" s="80"/>
      <c r="K48" s="80"/>
      <c r="L48" s="80"/>
    </row>
  </sheetData>
  <autoFilter ref="A6:L6" xr:uid="{B6E64D05-3B85-E04D-98AF-AD68E706E642}">
    <filterColumn colId="4" showButton="0"/>
    <filterColumn colId="5" showButton="0"/>
    <filterColumn colId="6" showButton="0"/>
    <filterColumn colId="7" showButton="0"/>
    <filterColumn colId="8" showButton="0"/>
    <sortState xmlns:xlrd2="http://schemas.microsoft.com/office/spreadsheetml/2017/richdata2" ref="A7:L21">
      <sortCondition ref="A6:A21"/>
    </sortState>
  </autoFilter>
  <mergeCells count="12">
    <mergeCell ref="K1:L1"/>
    <mergeCell ref="E6:J6"/>
    <mergeCell ref="E26:L26"/>
    <mergeCell ref="E27:L48"/>
    <mergeCell ref="A23:C23"/>
    <mergeCell ref="E23:L23"/>
    <mergeCell ref="A24:C24"/>
    <mergeCell ref="E24:L24"/>
    <mergeCell ref="A25:B25"/>
    <mergeCell ref="F25:G25"/>
    <mergeCell ref="H25:L25"/>
    <mergeCell ref="A22:L22"/>
  </mergeCells>
  <conditionalFormatting sqref="A18:A21">
    <cfRule type="expression" dxfId="126" priority="114">
      <formula>AND(C18&lt;&gt;"",A18="")</formula>
    </cfRule>
  </conditionalFormatting>
  <conditionalFormatting sqref="L15:L21">
    <cfRule type="containsText" dxfId="125" priority="91" operator="containsText" text="behind">
      <formula>NOT(ISERROR(SEARCH("behind",L15)))</formula>
    </cfRule>
    <cfRule type="containsText" dxfId="124" priority="92" operator="containsText" text="in progress">
      <formula>NOT(ISERROR(SEARCH("in progress",L15)))</formula>
    </cfRule>
    <cfRule type="containsText" dxfId="123" priority="93" operator="containsText" text="passt nicht">
      <formula>NOT(ISERROR(SEARCH("passt nicht",L15)))</formula>
    </cfRule>
    <cfRule type="containsText" dxfId="122" priority="94" operator="containsText" text="Fehler">
      <formula>NOT(ISERROR(SEARCH("Fehler",L15)))</formula>
    </cfRule>
    <cfRule type="containsText" dxfId="121" priority="95" operator="containsText" text="passt">
      <formula>NOT(ISERROR(SEARCH("passt",L15)))</formula>
    </cfRule>
    <cfRule type="containsText" dxfId="120" priority="96" operator="containsText" text="latest">
      <formula>NOT(ISERROR(SEARCH("latest",L15)))</formula>
    </cfRule>
  </conditionalFormatting>
  <conditionalFormatting sqref="K7:K21">
    <cfRule type="containsText" dxfId="119" priority="85" operator="containsText" text="behind">
      <formula>NOT(ISERROR(SEARCH("behind",K7)))</formula>
    </cfRule>
    <cfRule type="containsText" dxfId="118" priority="86" operator="containsText" text="in progress">
      <formula>NOT(ISERROR(SEARCH("in progress",K7)))</formula>
    </cfRule>
    <cfRule type="containsText" dxfId="117" priority="87" operator="containsText" text="passt nicht">
      <formula>NOT(ISERROR(SEARCH("passt nicht",K7)))</formula>
    </cfRule>
    <cfRule type="containsText" dxfId="116" priority="88" operator="containsText" text="Fehler">
      <formula>NOT(ISERROR(SEARCH("Fehler",K7)))</formula>
    </cfRule>
    <cfRule type="containsText" dxfId="115" priority="89" operator="containsText" text="passt">
      <formula>NOT(ISERROR(SEARCH("passt",K7)))</formula>
    </cfRule>
    <cfRule type="containsText" dxfId="114" priority="90" operator="containsText" text="latest">
      <formula>NOT(ISERROR(SEARCH("latest",K7)))</formula>
    </cfRule>
  </conditionalFormatting>
  <conditionalFormatting sqref="L7:L14">
    <cfRule type="containsText" dxfId="113" priority="76" operator="containsText" text="behind">
      <formula>NOT(ISERROR(SEARCH("behind",L7)))</formula>
    </cfRule>
    <cfRule type="containsText" dxfId="112" priority="77" operator="containsText" text="in progress">
      <formula>NOT(ISERROR(SEARCH("in progress",L7)))</formula>
    </cfRule>
    <cfRule type="containsText" dxfId="111" priority="78" operator="containsText" text="passt nicht">
      <formula>NOT(ISERROR(SEARCH("passt nicht",L7)))</formula>
    </cfRule>
    <cfRule type="containsText" dxfId="110" priority="79" operator="containsText" text="Fehler">
      <formula>NOT(ISERROR(SEARCH("Fehler",L7)))</formula>
    </cfRule>
    <cfRule type="containsText" dxfId="109" priority="80" operator="containsText" text="passt">
      <formula>NOT(ISERROR(SEARCH("passt",L7)))</formula>
    </cfRule>
    <cfRule type="containsText" dxfId="108" priority="81" operator="containsText" text="latest">
      <formula>NOT(ISERROR(SEARCH("latest",L7)))</formula>
    </cfRule>
  </conditionalFormatting>
  <conditionalFormatting sqref="A15:A16">
    <cfRule type="expression" dxfId="107" priority="74">
      <formula>AND(C15&lt;&gt;"",A15="")</formula>
    </cfRule>
  </conditionalFormatting>
  <conditionalFormatting sqref="A17">
    <cfRule type="expression" dxfId="106" priority="72">
      <formula>AND(C17&lt;&gt;"",A17="")</formula>
    </cfRule>
  </conditionalFormatting>
  <conditionalFormatting sqref="A14">
    <cfRule type="expression" dxfId="105" priority="68">
      <formula>AND(C14&lt;&gt;"",A14="")</formula>
    </cfRule>
  </conditionalFormatting>
  <conditionalFormatting sqref="A13">
    <cfRule type="expression" dxfId="104" priority="66">
      <formula>AND(C13&lt;&gt;"",A13="")</formula>
    </cfRule>
  </conditionalFormatting>
  <conditionalFormatting sqref="A24 D24:E24">
    <cfRule type="expression" dxfId="103" priority="55">
      <formula>($D$24-$B$4)&gt;0</formula>
    </cfRule>
  </conditionalFormatting>
  <conditionalFormatting sqref="D23">
    <cfRule type="expression" dxfId="102" priority="54">
      <formula>ISERROR(SEARCH("-", $D$23))=TRUE</formula>
    </cfRule>
  </conditionalFormatting>
  <conditionalFormatting sqref="A25 H25">
    <cfRule type="expression" dxfId="101" priority="31">
      <formula>$D$25&gt;=0</formula>
    </cfRule>
  </conditionalFormatting>
  <conditionalFormatting sqref="D25">
    <cfRule type="expression" dxfId="100" priority="30">
      <formula>$D$25&gt;=0</formula>
    </cfRule>
  </conditionalFormatting>
  <conditionalFormatting sqref="C25">
    <cfRule type="expression" dxfId="99" priority="29">
      <formula>$D$25&gt;=0</formula>
    </cfRule>
  </conditionalFormatting>
  <conditionalFormatting sqref="E25">
    <cfRule type="expression" dxfId="98" priority="28">
      <formula>$D$25&gt;=0</formula>
    </cfRule>
  </conditionalFormatting>
  <conditionalFormatting sqref="F25">
    <cfRule type="expression" dxfId="97" priority="27">
      <formula>$D$25&gt;=0</formula>
    </cfRule>
  </conditionalFormatting>
  <conditionalFormatting sqref="A8">
    <cfRule type="expression" dxfId="96" priority="26">
      <formula>AND(C8&lt;&gt;"",A8="")</formula>
    </cfRule>
  </conditionalFormatting>
  <conditionalFormatting sqref="A9">
    <cfRule type="expression" dxfId="95" priority="11">
      <formula>AND(C9&lt;&gt;"",A9="")</formula>
    </cfRule>
  </conditionalFormatting>
  <conditionalFormatting sqref="A9">
    <cfRule type="expression" dxfId="94" priority="10">
      <formula>AND(C9&lt;&gt;"",A9="")</formula>
    </cfRule>
  </conditionalFormatting>
  <conditionalFormatting sqref="A11">
    <cfRule type="expression" dxfId="93" priority="9">
      <formula>AND(C11&lt;&gt;"",A11="")</formula>
    </cfRule>
  </conditionalFormatting>
  <conditionalFormatting sqref="A11">
    <cfRule type="expression" dxfId="92" priority="8">
      <formula>AND(C11&lt;&gt;"",A11="")</formula>
    </cfRule>
  </conditionalFormatting>
  <conditionalFormatting sqref="A12">
    <cfRule type="expression" dxfId="91" priority="7">
      <formula>AND(C12&lt;&gt;"",A12="")</formula>
    </cfRule>
  </conditionalFormatting>
  <conditionalFormatting sqref="A7">
    <cfRule type="expression" dxfId="90" priority="6">
      <formula>AND(C7&lt;&gt;"",A7="")</formula>
    </cfRule>
  </conditionalFormatting>
  <conditionalFormatting sqref="A7">
    <cfRule type="expression" dxfId="89" priority="5">
      <formula>AND(C7&lt;&gt;"",A7="")</formula>
    </cfRule>
  </conditionalFormatting>
  <conditionalFormatting sqref="A10">
    <cfRule type="expression" dxfId="88" priority="3">
      <formula>AND(C10&lt;&gt;"",A10="")</formula>
    </cfRule>
  </conditionalFormatting>
  <conditionalFormatting sqref="A10">
    <cfRule type="expression" dxfId="87" priority="2">
      <formula>AND(C10&lt;&gt;"",A10="")</formula>
    </cfRule>
  </conditionalFormatting>
  <conditionalFormatting sqref="A10">
    <cfRule type="expression" dxfId="86" priority="1">
      <formula>AND(C10&lt;&gt;"",A10="")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ED36E2C-16AA-174A-9271-42CA52BC99A3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84DC84D0-EF0D-CB41-92BD-8A74C9BA03BC}">
          <x14:formula1>
            <xm:f>'VBA-Settings'!$B$4:$B$54</xm:f>
          </x14:formula1>
          <xm:sqref>A7:A21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6F897-11D4-AB49-BFC2-2A296DD67C69}">
  <sheetPr codeName="Tabelle19"/>
  <dimension ref="A1:Z48"/>
  <sheetViews>
    <sheetView zoomScaleNormal="100" workbookViewId="0"/>
  </sheetViews>
  <sheetFormatPr baseColWidth="10" defaultRowHeight="16" x14ac:dyDescent="0.2"/>
  <cols>
    <col min="1" max="1" width="47.83203125" customWidth="1"/>
    <col min="2" max="2" width="12.8320312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26" x14ac:dyDescent="0.2">
      <c r="A1" s="34" t="s">
        <v>14</v>
      </c>
      <c r="B1" s="3"/>
      <c r="C1" s="28" t="s">
        <v>47</v>
      </c>
      <c r="D1" s="4"/>
      <c r="K1" s="76" t="s">
        <v>15</v>
      </c>
      <c r="L1" s="77"/>
      <c r="Z1" s="68"/>
    </row>
    <row r="2" spans="1:26" x14ac:dyDescent="0.2">
      <c r="A2" s="34" t="s">
        <v>16</v>
      </c>
      <c r="B2" s="30"/>
      <c r="C2" s="29" t="s">
        <v>48</v>
      </c>
      <c r="K2" s="6" t="s">
        <v>17</v>
      </c>
      <c r="L2" s="7" t="s">
        <v>18</v>
      </c>
    </row>
    <row r="3" spans="1:26" x14ac:dyDescent="0.2">
      <c r="A3" s="35" t="s">
        <v>19</v>
      </c>
      <c r="B3" s="5"/>
      <c r="K3" s="6" t="s">
        <v>20</v>
      </c>
      <c r="L3" s="7" t="s">
        <v>21</v>
      </c>
    </row>
    <row r="4" spans="1:26" ht="17" thickBot="1" x14ac:dyDescent="0.25">
      <c r="A4" s="35" t="s">
        <v>22</v>
      </c>
      <c r="B4" s="5">
        <v>0.33333333333333331</v>
      </c>
      <c r="E4" s="4"/>
      <c r="F4" s="4"/>
      <c r="K4" s="8" t="s">
        <v>23</v>
      </c>
      <c r="L4" s="9" t="s">
        <v>24</v>
      </c>
    </row>
    <row r="6" spans="1:26" x14ac:dyDescent="0.2">
      <c r="A6" s="36" t="s">
        <v>25</v>
      </c>
      <c r="B6" s="36" t="s">
        <v>26</v>
      </c>
      <c r="C6" s="36" t="s">
        <v>27</v>
      </c>
      <c r="D6" s="36" t="s">
        <v>28</v>
      </c>
      <c r="E6" s="78" t="s">
        <v>29</v>
      </c>
      <c r="F6" s="78"/>
      <c r="G6" s="78"/>
      <c r="H6" s="78"/>
      <c r="I6" s="78"/>
      <c r="J6" s="78"/>
      <c r="K6" s="36" t="s">
        <v>30</v>
      </c>
      <c r="L6" s="36" t="s">
        <v>31</v>
      </c>
    </row>
    <row r="7" spans="1:26" x14ac:dyDescent="0.2">
      <c r="A7" s="10"/>
      <c r="B7" s="11"/>
      <c r="C7" s="69"/>
      <c r="D7" s="13">
        <f t="shared" ref="D7:D21" si="0">SUM(E7:J7)</f>
        <v>0</v>
      </c>
      <c r="E7" s="14"/>
      <c r="F7" s="14"/>
      <c r="G7" s="14"/>
      <c r="H7" s="14"/>
      <c r="I7" s="14"/>
      <c r="J7" s="15"/>
      <c r="K7" s="33"/>
      <c r="L7" s="33"/>
    </row>
    <row r="8" spans="1:26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5"/>
      <c r="K8" s="33"/>
      <c r="L8" s="33"/>
      <c r="M8" s="4"/>
    </row>
    <row r="9" spans="1:26" x14ac:dyDescent="0.2">
      <c r="A9" s="10"/>
      <c r="B9" s="11"/>
      <c r="C9" s="73"/>
      <c r="D9" s="13">
        <f t="shared" si="0"/>
        <v>0</v>
      </c>
      <c r="E9" s="14"/>
      <c r="F9" s="14"/>
      <c r="G9" s="14"/>
      <c r="H9" s="14"/>
      <c r="I9" s="14"/>
      <c r="J9" s="14"/>
      <c r="K9" s="33"/>
      <c r="L9" s="33"/>
      <c r="M9" s="4"/>
    </row>
    <row r="10" spans="1:26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3"/>
      <c r="L10" s="33"/>
    </row>
    <row r="11" spans="1:26" x14ac:dyDescent="0.2">
      <c r="A11" s="10"/>
      <c r="B11" s="11"/>
      <c r="C11" s="59"/>
      <c r="D11" s="13">
        <f t="shared" si="0"/>
        <v>0</v>
      </c>
      <c r="E11" s="14"/>
      <c r="F11" s="14"/>
      <c r="G11" s="14"/>
      <c r="H11" s="14"/>
      <c r="I11" s="14"/>
      <c r="J11" s="15"/>
      <c r="K11" s="33"/>
      <c r="L11" s="33"/>
    </row>
    <row r="12" spans="1:26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4"/>
      <c r="K12" s="33"/>
      <c r="L12" s="33"/>
    </row>
    <row r="13" spans="1:26" x14ac:dyDescent="0.2">
      <c r="A13" s="10"/>
      <c r="B13" s="11"/>
      <c r="C13" s="57"/>
      <c r="D13" s="13">
        <f t="shared" si="0"/>
        <v>0</v>
      </c>
      <c r="E13" s="14"/>
      <c r="F13" s="14"/>
      <c r="G13" s="14"/>
      <c r="H13" s="14"/>
      <c r="I13" s="14"/>
      <c r="J13" s="14"/>
      <c r="K13" s="33"/>
      <c r="L13" s="33"/>
    </row>
    <row r="14" spans="1:26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4"/>
      <c r="K14" s="33"/>
      <c r="L14" s="33"/>
    </row>
    <row r="15" spans="1:26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3"/>
      <c r="L15" s="33"/>
      <c r="M15" s="16"/>
      <c r="N15" s="17"/>
    </row>
    <row r="16" spans="1:26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3"/>
      <c r="L16" s="33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3"/>
      <c r="L17" s="33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3"/>
      <c r="L18" s="33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3"/>
      <c r="L19" s="33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3"/>
      <c r="L20" s="33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3"/>
      <c r="L21" s="33"/>
      <c r="N21" s="4"/>
    </row>
    <row r="22" spans="1:14" x14ac:dyDescent="0.2">
      <c r="A22" s="93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5"/>
    </row>
    <row r="23" spans="1:14" x14ac:dyDescent="0.2">
      <c r="A23" s="81"/>
      <c r="B23" s="82"/>
      <c r="C23" s="83"/>
      <c r="D23" s="31" t="str">
        <f ca="1">IF((MOD(NOW(),1)-B2-D24-B3)&lt; 0, "-" &amp; TEXT(ABS((MOD(NOW(),1)-B2-D24-B3)), "hh:mm"), TEXT((MOD(NOW(),1)-B2-D24-B3), "hh:mm"))</f>
        <v>10:42</v>
      </c>
      <c r="E23" s="84">
        <f ca="1">IF((MOD(NOW(),1)-B2-D24-B3)&lt;0, (MOD(NOW(),1)-B2-D24-B3) + 1, MOD(NOW(),1)-B2-D24-B3)</f>
        <v>0.44647129629447591</v>
      </c>
      <c r="F23" s="85"/>
      <c r="G23" s="85"/>
      <c r="H23" s="85"/>
      <c r="I23" s="85"/>
      <c r="J23" s="85"/>
      <c r="K23" s="85"/>
      <c r="L23" s="86"/>
      <c r="N23" s="4"/>
    </row>
    <row r="24" spans="1:14" x14ac:dyDescent="0.2">
      <c r="A24" s="87"/>
      <c r="B24" s="88"/>
      <c r="C24" s="89"/>
      <c r="D24" s="32">
        <f>SUM(D7:D21)</f>
        <v>0</v>
      </c>
      <c r="E24" s="87"/>
      <c r="F24" s="88"/>
      <c r="G24" s="88"/>
      <c r="H24" s="88"/>
      <c r="I24" s="88"/>
      <c r="J24" s="88"/>
      <c r="K24" s="88"/>
      <c r="L24" s="89"/>
      <c r="M24" s="16"/>
    </row>
    <row r="25" spans="1:14" x14ac:dyDescent="0.2">
      <c r="A25" s="90"/>
      <c r="B25" s="91"/>
      <c r="C25" s="63" t="s">
        <v>96</v>
      </c>
      <c r="D25" s="62">
        <f>Wochenübersicht!E7</f>
        <v>-32</v>
      </c>
      <c r="E25" s="64">
        <f ca="1">IF(D25&lt;0,NOW()-E23+((D25*-1)/24),"")</f>
        <v>46080.333333333336</v>
      </c>
      <c r="F25" s="90" t="str">
        <f>IF(B3&lt;TIME(0,29,0),"+ 30 min. break","")</f>
        <v>+ 30 min. break</v>
      </c>
      <c r="G25" s="91"/>
      <c r="H25" s="90"/>
      <c r="I25" s="92"/>
      <c r="J25" s="92"/>
      <c r="K25" s="92"/>
      <c r="L25" s="91"/>
    </row>
    <row r="26" spans="1:14" x14ac:dyDescent="0.2">
      <c r="E26" s="79" t="s">
        <v>32</v>
      </c>
      <c r="F26" s="79"/>
      <c r="G26" s="79"/>
      <c r="H26" s="79"/>
      <c r="I26" s="79"/>
      <c r="J26" s="79"/>
      <c r="K26" s="79"/>
      <c r="L26" s="79"/>
    </row>
    <row r="27" spans="1:14" ht="16" customHeight="1" x14ac:dyDescent="0.2">
      <c r="E27" s="80"/>
      <c r="F27" s="80"/>
      <c r="G27" s="80"/>
      <c r="H27" s="80"/>
      <c r="I27" s="80"/>
      <c r="J27" s="80"/>
      <c r="K27" s="80"/>
      <c r="L27" s="80"/>
    </row>
    <row r="28" spans="1:14" x14ac:dyDescent="0.2">
      <c r="D28" s="16"/>
      <c r="E28" s="80"/>
      <c r="F28" s="80"/>
      <c r="G28" s="80"/>
      <c r="H28" s="80"/>
      <c r="I28" s="80"/>
      <c r="J28" s="80"/>
      <c r="K28" s="80"/>
      <c r="L28" s="80"/>
    </row>
    <row r="29" spans="1:14" x14ac:dyDescent="0.2">
      <c r="E29" s="80"/>
      <c r="F29" s="80"/>
      <c r="G29" s="80"/>
      <c r="H29" s="80"/>
      <c r="I29" s="80"/>
      <c r="J29" s="80"/>
      <c r="K29" s="80"/>
      <c r="L29" s="80"/>
    </row>
    <row r="30" spans="1:14" x14ac:dyDescent="0.2">
      <c r="E30" s="80"/>
      <c r="F30" s="80"/>
      <c r="G30" s="80"/>
      <c r="H30" s="80"/>
      <c r="I30" s="80"/>
      <c r="J30" s="80"/>
      <c r="K30" s="80"/>
      <c r="L30" s="80"/>
    </row>
    <row r="31" spans="1:14" x14ac:dyDescent="0.2">
      <c r="E31" s="80"/>
      <c r="F31" s="80"/>
      <c r="G31" s="80"/>
      <c r="H31" s="80"/>
      <c r="I31" s="80"/>
      <c r="J31" s="80"/>
      <c r="K31" s="80"/>
      <c r="L31" s="80"/>
    </row>
    <row r="32" spans="1:14" x14ac:dyDescent="0.2">
      <c r="E32" s="80"/>
      <c r="F32" s="80"/>
      <c r="G32" s="80"/>
      <c r="H32" s="80"/>
      <c r="I32" s="80"/>
      <c r="J32" s="80"/>
      <c r="K32" s="80"/>
      <c r="L32" s="80"/>
    </row>
    <row r="33" spans="4:15" x14ac:dyDescent="0.2">
      <c r="D33" s="16"/>
      <c r="E33" s="80"/>
      <c r="F33" s="80"/>
      <c r="G33" s="80"/>
      <c r="H33" s="80"/>
      <c r="I33" s="80"/>
      <c r="J33" s="80"/>
      <c r="K33" s="80"/>
      <c r="L33" s="80"/>
    </row>
    <row r="34" spans="4:15" x14ac:dyDescent="0.2">
      <c r="D34" s="17"/>
      <c r="E34" s="80"/>
      <c r="F34" s="80"/>
      <c r="G34" s="80"/>
      <c r="H34" s="80"/>
      <c r="I34" s="80"/>
      <c r="J34" s="80"/>
      <c r="K34" s="80"/>
      <c r="L34" s="80"/>
    </row>
    <row r="35" spans="4:15" x14ac:dyDescent="0.2">
      <c r="E35" s="80"/>
      <c r="F35" s="80"/>
      <c r="G35" s="80"/>
      <c r="H35" s="80"/>
      <c r="I35" s="80"/>
      <c r="J35" s="80"/>
      <c r="K35" s="80"/>
      <c r="L35" s="80"/>
    </row>
    <row r="36" spans="4:15" x14ac:dyDescent="0.2">
      <c r="E36" s="80"/>
      <c r="F36" s="80"/>
      <c r="G36" s="80"/>
      <c r="H36" s="80"/>
      <c r="I36" s="80"/>
      <c r="J36" s="80"/>
      <c r="K36" s="80"/>
      <c r="L36" s="80"/>
      <c r="O36" s="19"/>
    </row>
    <row r="37" spans="4:15" x14ac:dyDescent="0.2">
      <c r="E37" s="80"/>
      <c r="F37" s="80"/>
      <c r="G37" s="80"/>
      <c r="H37" s="80"/>
      <c r="I37" s="80"/>
      <c r="J37" s="80"/>
      <c r="K37" s="80"/>
      <c r="L37" s="80"/>
    </row>
    <row r="38" spans="4:15" x14ac:dyDescent="0.2">
      <c r="E38" s="80"/>
      <c r="F38" s="80"/>
      <c r="G38" s="80"/>
      <c r="H38" s="80"/>
      <c r="I38" s="80"/>
      <c r="J38" s="80"/>
      <c r="K38" s="80"/>
      <c r="L38" s="80"/>
    </row>
    <row r="39" spans="4:15" x14ac:dyDescent="0.2">
      <c r="E39" s="80"/>
      <c r="F39" s="80"/>
      <c r="G39" s="80"/>
      <c r="H39" s="80"/>
      <c r="I39" s="80"/>
      <c r="J39" s="80"/>
      <c r="K39" s="80"/>
      <c r="L39" s="80"/>
    </row>
    <row r="40" spans="4:15" x14ac:dyDescent="0.2">
      <c r="E40" s="80"/>
      <c r="F40" s="80"/>
      <c r="G40" s="80"/>
      <c r="H40" s="80"/>
      <c r="I40" s="80"/>
      <c r="J40" s="80"/>
      <c r="K40" s="80"/>
      <c r="L40" s="80"/>
    </row>
    <row r="41" spans="4:15" x14ac:dyDescent="0.2">
      <c r="E41" s="80"/>
      <c r="F41" s="80"/>
      <c r="G41" s="80"/>
      <c r="H41" s="80"/>
      <c r="I41" s="80"/>
      <c r="J41" s="80"/>
      <c r="K41" s="80"/>
      <c r="L41" s="80"/>
    </row>
    <row r="42" spans="4:15" x14ac:dyDescent="0.2">
      <c r="E42" s="80"/>
      <c r="F42" s="80"/>
      <c r="G42" s="80"/>
      <c r="H42" s="80"/>
      <c r="I42" s="80"/>
      <c r="J42" s="80"/>
      <c r="K42" s="80"/>
      <c r="L42" s="80"/>
    </row>
    <row r="43" spans="4:15" x14ac:dyDescent="0.2">
      <c r="E43" s="80"/>
      <c r="F43" s="80"/>
      <c r="G43" s="80"/>
      <c r="H43" s="80"/>
      <c r="I43" s="80"/>
      <c r="J43" s="80"/>
      <c r="K43" s="80"/>
      <c r="L43" s="80"/>
    </row>
    <row r="44" spans="4:15" x14ac:dyDescent="0.2">
      <c r="E44" s="80"/>
      <c r="F44" s="80"/>
      <c r="G44" s="80"/>
      <c r="H44" s="80"/>
      <c r="I44" s="80"/>
      <c r="J44" s="80"/>
      <c r="K44" s="80"/>
      <c r="L44" s="80"/>
    </row>
    <row r="45" spans="4:15" x14ac:dyDescent="0.2">
      <c r="E45" s="80"/>
      <c r="F45" s="80"/>
      <c r="G45" s="80"/>
      <c r="H45" s="80"/>
      <c r="I45" s="80"/>
      <c r="J45" s="80"/>
      <c r="K45" s="80"/>
      <c r="L45" s="80"/>
    </row>
    <row r="46" spans="4:15" x14ac:dyDescent="0.2">
      <c r="E46" s="80"/>
      <c r="F46" s="80"/>
      <c r="G46" s="80"/>
      <c r="H46" s="80"/>
      <c r="I46" s="80"/>
      <c r="J46" s="80"/>
      <c r="K46" s="80"/>
      <c r="L46" s="80"/>
    </row>
    <row r="47" spans="4:15" x14ac:dyDescent="0.2">
      <c r="E47" s="80"/>
      <c r="F47" s="80"/>
      <c r="G47" s="80"/>
      <c r="H47" s="80"/>
      <c r="I47" s="80"/>
      <c r="J47" s="80"/>
      <c r="K47" s="80"/>
      <c r="L47" s="80"/>
    </row>
    <row r="48" spans="4:15" x14ac:dyDescent="0.2">
      <c r="E48" s="80"/>
      <c r="F48" s="80"/>
      <c r="G48" s="80"/>
      <c r="H48" s="80"/>
      <c r="I48" s="80"/>
      <c r="J48" s="80"/>
      <c r="K48" s="80"/>
      <c r="L48" s="80"/>
    </row>
  </sheetData>
  <autoFilter ref="A6:L6" xr:uid="{6646F897-11D4-AB49-BFC2-2A296DD67C69}">
    <filterColumn colId="4" showButton="0"/>
    <filterColumn colId="5" showButton="0"/>
    <filterColumn colId="6" showButton="0"/>
    <filterColumn colId="7" showButton="0"/>
    <filterColumn colId="8" showButton="0"/>
    <sortState xmlns:xlrd2="http://schemas.microsoft.com/office/spreadsheetml/2017/richdata2" ref="A7:L21">
      <sortCondition descending="1" ref="A6:A21"/>
    </sortState>
  </autoFilter>
  <mergeCells count="12">
    <mergeCell ref="K1:L1"/>
    <mergeCell ref="E6:J6"/>
    <mergeCell ref="E26:L26"/>
    <mergeCell ref="E27:L48"/>
    <mergeCell ref="A23:C23"/>
    <mergeCell ref="E23:L23"/>
    <mergeCell ref="A24:C24"/>
    <mergeCell ref="E24:L24"/>
    <mergeCell ref="A25:B25"/>
    <mergeCell ref="F25:G25"/>
    <mergeCell ref="H25:L25"/>
    <mergeCell ref="A22:L22"/>
  </mergeCells>
  <conditionalFormatting sqref="A12 A15:A21">
    <cfRule type="expression" dxfId="215" priority="112">
      <formula>AND(C12&lt;&gt;"",A12="")</formula>
    </cfRule>
  </conditionalFormatting>
  <conditionalFormatting sqref="L7:L21">
    <cfRule type="containsText" dxfId="214" priority="89" operator="containsText" text="behind">
      <formula>NOT(ISERROR(SEARCH("behind",L7)))</formula>
    </cfRule>
    <cfRule type="containsText" dxfId="213" priority="90" operator="containsText" text="in progress">
      <formula>NOT(ISERROR(SEARCH("in progress",L7)))</formula>
    </cfRule>
    <cfRule type="containsText" dxfId="212" priority="91" operator="containsText" text="passt nicht">
      <formula>NOT(ISERROR(SEARCH("passt nicht",L7)))</formula>
    </cfRule>
    <cfRule type="containsText" dxfId="211" priority="92" operator="containsText" text="Fehler">
      <formula>NOT(ISERROR(SEARCH("Fehler",L7)))</formula>
    </cfRule>
    <cfRule type="containsText" dxfId="210" priority="93" operator="containsText" text="passt">
      <formula>NOT(ISERROR(SEARCH("passt",L7)))</formula>
    </cfRule>
    <cfRule type="containsText" dxfId="209" priority="94" operator="containsText" text="latest">
      <formula>NOT(ISERROR(SEARCH("latest",L7)))</formula>
    </cfRule>
  </conditionalFormatting>
  <conditionalFormatting sqref="K7:K21">
    <cfRule type="containsText" dxfId="208" priority="83" operator="containsText" text="behind">
      <formula>NOT(ISERROR(SEARCH("behind",K7)))</formula>
    </cfRule>
    <cfRule type="containsText" dxfId="207" priority="84" operator="containsText" text="in progress">
      <formula>NOT(ISERROR(SEARCH("in progress",K7)))</formula>
    </cfRule>
    <cfRule type="containsText" dxfId="206" priority="85" operator="containsText" text="passt nicht">
      <formula>NOT(ISERROR(SEARCH("passt nicht",K7)))</formula>
    </cfRule>
    <cfRule type="containsText" dxfId="205" priority="86" operator="containsText" text="Fehler">
      <formula>NOT(ISERROR(SEARCH("Fehler",K7)))</formula>
    </cfRule>
    <cfRule type="containsText" dxfId="204" priority="87" operator="containsText" text="passt">
      <formula>NOT(ISERROR(SEARCH("passt",K7)))</formula>
    </cfRule>
    <cfRule type="containsText" dxfId="203" priority="88" operator="containsText" text="latest">
      <formula>NOT(ISERROR(SEARCH("latest",K7)))</formula>
    </cfRule>
  </conditionalFormatting>
  <conditionalFormatting sqref="A24 D24:E24">
    <cfRule type="expression" dxfId="202" priority="55">
      <formula>($D$24-$B$4)&gt;0</formula>
    </cfRule>
  </conditionalFormatting>
  <conditionalFormatting sqref="D23">
    <cfRule type="expression" dxfId="201" priority="54">
      <formula>ISERROR(SEARCH("-", $D$23))=TRUE</formula>
    </cfRule>
  </conditionalFormatting>
  <conditionalFormatting sqref="A25 H25">
    <cfRule type="expression" dxfId="200" priority="48">
      <formula>$D$25&gt;=0</formula>
    </cfRule>
  </conditionalFormatting>
  <conditionalFormatting sqref="D25">
    <cfRule type="expression" dxfId="199" priority="47">
      <formula>$D$25&gt;=0</formula>
    </cfRule>
  </conditionalFormatting>
  <conditionalFormatting sqref="C25">
    <cfRule type="expression" dxfId="198" priority="46">
      <formula>$D$25&gt;=0</formula>
    </cfRule>
  </conditionalFormatting>
  <conditionalFormatting sqref="E25">
    <cfRule type="expression" dxfId="197" priority="45">
      <formula>$D$25&gt;=0</formula>
    </cfRule>
  </conditionalFormatting>
  <conditionalFormatting sqref="F25">
    <cfRule type="expression" dxfId="196" priority="44">
      <formula>$D$25&gt;=0</formula>
    </cfRule>
  </conditionalFormatting>
  <conditionalFormatting sqref="A13">
    <cfRule type="expression" dxfId="195" priority="32">
      <formula>AND(C13&lt;&gt;"",A13="")</formula>
    </cfRule>
  </conditionalFormatting>
  <conditionalFormatting sqref="A14">
    <cfRule type="expression" dxfId="194" priority="30">
      <formula>AND(C14&lt;&gt;"",A14="")</formula>
    </cfRule>
  </conditionalFormatting>
  <conditionalFormatting sqref="A10">
    <cfRule type="expression" dxfId="193" priority="23">
      <formula>AND(C10&lt;&gt;"",A10="")</formula>
    </cfRule>
  </conditionalFormatting>
  <conditionalFormatting sqref="A10">
    <cfRule type="expression" dxfId="192" priority="22">
      <formula>AND(C10&lt;&gt;"",A10="")</formula>
    </cfRule>
  </conditionalFormatting>
  <conditionalFormatting sqref="A11">
    <cfRule type="expression" dxfId="191" priority="12">
      <formula>AND(C11&lt;&gt;"",A11="")</formula>
    </cfRule>
  </conditionalFormatting>
  <conditionalFormatting sqref="A8">
    <cfRule type="expression" dxfId="190" priority="7">
      <formula>AND(C8&lt;&gt;"",A8="")</formula>
    </cfRule>
  </conditionalFormatting>
  <conditionalFormatting sqref="A9">
    <cfRule type="expression" dxfId="189" priority="4">
      <formula>AND(C9&lt;&gt;"",A9="")</formula>
    </cfRule>
  </conditionalFormatting>
  <conditionalFormatting sqref="A7">
    <cfRule type="expression" dxfId="188" priority="3">
      <formula>AND(C7&lt;&gt;"",A7="")</formula>
    </cfRule>
  </conditionalFormatting>
  <conditionalFormatting sqref="A7">
    <cfRule type="expression" dxfId="187" priority="2">
      <formula>AND(C7&lt;&gt;"",A7="")</formula>
    </cfRule>
  </conditionalFormatting>
  <conditionalFormatting sqref="A7">
    <cfRule type="expression" dxfId="186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481937C-9648-4847-A376-F7AA17E5574A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97F9B41E-D54A-0A47-B8DE-BCBBC217BCFD}">
          <x14:formula1>
            <xm:f>'VBA-Settings'!$B$4:$B$54</xm:f>
          </x14:formula1>
          <xm:sqref>A7:A21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66A98-91DF-1543-992B-8DE9500625B1}">
  <sheetPr codeName="Tabelle24"/>
  <dimension ref="A1:Z48"/>
  <sheetViews>
    <sheetView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26" x14ac:dyDescent="0.2">
      <c r="A1" s="34" t="s">
        <v>14</v>
      </c>
      <c r="B1" s="3"/>
      <c r="C1" s="28" t="s">
        <v>47</v>
      </c>
      <c r="D1" s="4"/>
      <c r="K1" s="76" t="s">
        <v>15</v>
      </c>
      <c r="L1" s="77"/>
      <c r="Z1" s="68"/>
    </row>
    <row r="2" spans="1:26" x14ac:dyDescent="0.2">
      <c r="A2" s="34" t="s">
        <v>16</v>
      </c>
      <c r="B2" s="30"/>
      <c r="C2" s="29" t="s">
        <v>48</v>
      </c>
      <c r="K2" s="6" t="s">
        <v>17</v>
      </c>
      <c r="L2" s="7" t="s">
        <v>18</v>
      </c>
    </row>
    <row r="3" spans="1:26" x14ac:dyDescent="0.2">
      <c r="A3" s="35" t="s">
        <v>19</v>
      </c>
      <c r="B3" s="5"/>
      <c r="K3" s="6" t="s">
        <v>20</v>
      </c>
      <c r="L3" s="7" t="s">
        <v>21</v>
      </c>
    </row>
    <row r="4" spans="1:26" ht="17" thickBot="1" x14ac:dyDescent="0.25">
      <c r="A4" s="35" t="s">
        <v>22</v>
      </c>
      <c r="B4" s="5">
        <v>0.33333333333333331</v>
      </c>
      <c r="E4" s="4"/>
      <c r="K4" s="8" t="s">
        <v>23</v>
      </c>
      <c r="L4" s="9" t="s">
        <v>24</v>
      </c>
    </row>
    <row r="5" spans="1:26" x14ac:dyDescent="0.2">
      <c r="E5" s="4"/>
    </row>
    <row r="6" spans="1:26" x14ac:dyDescent="0.2">
      <c r="A6" s="36" t="s">
        <v>25</v>
      </c>
      <c r="B6" s="36" t="s">
        <v>26</v>
      </c>
      <c r="C6" s="36" t="s">
        <v>27</v>
      </c>
      <c r="D6" s="36" t="s">
        <v>28</v>
      </c>
      <c r="E6" s="78" t="s">
        <v>29</v>
      </c>
      <c r="F6" s="78"/>
      <c r="G6" s="78"/>
      <c r="H6" s="78"/>
      <c r="I6" s="78"/>
      <c r="J6" s="78"/>
      <c r="K6" s="36" t="s">
        <v>30</v>
      </c>
      <c r="L6" s="36" t="s">
        <v>31</v>
      </c>
    </row>
    <row r="7" spans="1:26" x14ac:dyDescent="0.2">
      <c r="A7" s="10"/>
      <c r="B7" s="71"/>
      <c r="C7" s="69"/>
      <c r="D7" s="13">
        <f t="shared" ref="D7:D8" si="0">SUM(E7:J7)</f>
        <v>0</v>
      </c>
      <c r="E7" s="14"/>
      <c r="F7" s="37"/>
      <c r="G7" s="14"/>
      <c r="H7" s="14"/>
      <c r="I7" s="14"/>
      <c r="J7" s="14"/>
      <c r="K7" s="33"/>
      <c r="L7" s="33"/>
    </row>
    <row r="8" spans="1:26" x14ac:dyDescent="0.2">
      <c r="A8" s="10"/>
      <c r="B8" s="7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3"/>
      <c r="L8" s="33"/>
      <c r="M8" s="4"/>
    </row>
    <row r="9" spans="1:26" x14ac:dyDescent="0.2">
      <c r="A9" s="10"/>
      <c r="B9" s="71"/>
      <c r="C9" s="12"/>
      <c r="D9" s="13">
        <f t="shared" ref="D9:D21" si="1">SUM(E9:J9)</f>
        <v>0</v>
      </c>
      <c r="E9" s="14"/>
      <c r="F9" s="14"/>
      <c r="G9" s="14"/>
      <c r="H9" s="14"/>
      <c r="I9" s="14"/>
      <c r="J9" s="14"/>
      <c r="K9" s="33"/>
      <c r="L9" s="33"/>
      <c r="M9" s="4"/>
    </row>
    <row r="10" spans="1:26" x14ac:dyDescent="0.2">
      <c r="A10" s="10"/>
      <c r="B10" s="7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3"/>
      <c r="L10" s="33"/>
    </row>
    <row r="11" spans="1:26" x14ac:dyDescent="0.2">
      <c r="A11" s="10"/>
      <c r="B11" s="71"/>
      <c r="C11" s="12"/>
      <c r="D11" s="13">
        <f t="shared" si="1"/>
        <v>0</v>
      </c>
      <c r="E11" s="14"/>
      <c r="F11" s="14"/>
      <c r="G11" s="14"/>
      <c r="H11" s="14"/>
      <c r="I11" s="14"/>
      <c r="J11" s="14"/>
      <c r="K11" s="33"/>
      <c r="L11" s="33"/>
    </row>
    <row r="12" spans="1:26" x14ac:dyDescent="0.2">
      <c r="A12" s="70"/>
      <c r="B12" s="71"/>
      <c r="C12" s="69"/>
      <c r="D12" s="13">
        <f t="shared" si="1"/>
        <v>0</v>
      </c>
      <c r="E12" s="14"/>
      <c r="F12" s="14"/>
      <c r="G12" s="14"/>
      <c r="H12" s="14"/>
      <c r="I12" s="14"/>
      <c r="J12" s="15"/>
      <c r="K12" s="33"/>
      <c r="L12" s="33"/>
    </row>
    <row r="13" spans="1:26" x14ac:dyDescent="0.2">
      <c r="A13" s="70"/>
      <c r="B13" s="71"/>
      <c r="C13" s="59"/>
      <c r="D13" s="13">
        <f t="shared" si="1"/>
        <v>0</v>
      </c>
      <c r="E13" s="14"/>
      <c r="F13" s="14"/>
      <c r="G13" s="14"/>
      <c r="H13" s="14"/>
      <c r="I13" s="15"/>
      <c r="J13" s="15"/>
      <c r="K13" s="33"/>
      <c r="L13" s="33"/>
    </row>
    <row r="14" spans="1:26" x14ac:dyDescent="0.2">
      <c r="A14" s="70"/>
      <c r="B14" s="71"/>
      <c r="C14" s="69"/>
      <c r="D14" s="13">
        <f t="shared" si="1"/>
        <v>0</v>
      </c>
      <c r="E14" s="14"/>
      <c r="F14" s="14"/>
      <c r="G14" s="14"/>
      <c r="H14" s="14"/>
      <c r="I14" s="14"/>
      <c r="J14" s="15"/>
      <c r="K14" s="33"/>
      <c r="L14" s="33"/>
    </row>
    <row r="15" spans="1:26" x14ac:dyDescent="0.2">
      <c r="A15" s="70"/>
      <c r="B15" s="71"/>
      <c r="C15" s="69"/>
      <c r="D15" s="13">
        <f t="shared" si="1"/>
        <v>0</v>
      </c>
      <c r="E15" s="14"/>
      <c r="F15" s="14"/>
      <c r="G15" s="14"/>
      <c r="H15" s="15"/>
      <c r="I15" s="15"/>
      <c r="J15" s="15"/>
      <c r="K15" s="33"/>
      <c r="L15" s="33"/>
      <c r="M15" s="16"/>
      <c r="N15" s="17"/>
    </row>
    <row r="16" spans="1:26" x14ac:dyDescent="0.2">
      <c r="A16" s="70"/>
      <c r="B16" s="71"/>
      <c r="C16" s="69"/>
      <c r="D16" s="13">
        <f t="shared" si="1"/>
        <v>0</v>
      </c>
      <c r="E16" s="14"/>
      <c r="F16" s="14"/>
      <c r="G16" s="14"/>
      <c r="H16" s="14"/>
      <c r="I16" s="14"/>
      <c r="J16" s="15"/>
      <c r="K16" s="33"/>
      <c r="L16" s="33"/>
      <c r="N16" s="4"/>
    </row>
    <row r="17" spans="1:15" x14ac:dyDescent="0.2">
      <c r="A17" s="70"/>
      <c r="B17" s="71"/>
      <c r="C17" s="69"/>
      <c r="D17" s="13">
        <f t="shared" si="1"/>
        <v>0</v>
      </c>
      <c r="E17" s="14"/>
      <c r="F17" s="14"/>
      <c r="G17" s="14"/>
      <c r="H17" s="15"/>
      <c r="I17" s="15"/>
      <c r="J17" s="15"/>
      <c r="K17" s="33"/>
      <c r="L17" s="33"/>
      <c r="N17" s="4"/>
    </row>
    <row r="18" spans="1:15" x14ac:dyDescent="0.2">
      <c r="A18" s="70"/>
      <c r="B18" s="71"/>
      <c r="C18" s="69"/>
      <c r="D18" s="13">
        <f t="shared" si="1"/>
        <v>0</v>
      </c>
      <c r="E18" s="14"/>
      <c r="F18" s="14"/>
      <c r="G18" s="14"/>
      <c r="H18" s="14"/>
      <c r="I18" s="15"/>
      <c r="J18" s="15"/>
      <c r="K18" s="33"/>
      <c r="L18" s="33"/>
    </row>
    <row r="19" spans="1:15" x14ac:dyDescent="0.2">
      <c r="A19" s="70"/>
      <c r="B19" s="71"/>
      <c r="C19" s="69"/>
      <c r="D19" s="13">
        <f t="shared" si="1"/>
        <v>0</v>
      </c>
      <c r="E19" s="14"/>
      <c r="F19" s="14"/>
      <c r="G19" s="15"/>
      <c r="H19" s="15"/>
      <c r="I19" s="15"/>
      <c r="J19" s="15"/>
      <c r="K19" s="33"/>
      <c r="L19" s="33"/>
      <c r="N19" s="4"/>
    </row>
    <row r="20" spans="1:15" x14ac:dyDescent="0.2">
      <c r="A20" s="10"/>
      <c r="B20" s="7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3"/>
      <c r="L20" s="33"/>
    </row>
    <row r="21" spans="1:15" x14ac:dyDescent="0.2">
      <c r="A21" s="10"/>
      <c r="B21" s="7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3"/>
      <c r="L21" s="33"/>
      <c r="N21" s="4"/>
    </row>
    <row r="22" spans="1:15" x14ac:dyDescent="0.2">
      <c r="A22" s="93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5"/>
      <c r="N22" s="4"/>
    </row>
    <row r="23" spans="1:15" x14ac:dyDescent="0.2">
      <c r="A23" s="81"/>
      <c r="B23" s="82"/>
      <c r="C23" s="83"/>
      <c r="D23" s="31" t="str">
        <f ca="1">IF((MOD(NOW(),1)-B2-D24-B3)&lt; 0, "-" &amp; TEXT(ABS((MOD(NOW(),1)-B2-D24-B3)), "hh:mm"), TEXT((MOD(NOW(),1)-B2-D24-B3), "hh:mm"))</f>
        <v>10:42</v>
      </c>
      <c r="E23" s="84">
        <f ca="1">IF((MOD(NOW(),1)-B2-D24-B3)&lt;0, (MOD(NOW(),1)-B2-D24-B3) + 1, MOD(NOW(),1)-B2-D24-B3)</f>
        <v>0.44647129629447591</v>
      </c>
      <c r="F23" s="85"/>
      <c r="G23" s="85"/>
      <c r="H23" s="85"/>
      <c r="I23" s="85"/>
      <c r="J23" s="85"/>
      <c r="K23" s="85"/>
      <c r="L23" s="86"/>
      <c r="N23" s="4"/>
    </row>
    <row r="24" spans="1:15" x14ac:dyDescent="0.2">
      <c r="A24" s="87"/>
      <c r="B24" s="88"/>
      <c r="C24" s="89"/>
      <c r="D24" s="32">
        <f>SUM(D7:D21)</f>
        <v>0</v>
      </c>
      <c r="E24" s="87"/>
      <c r="F24" s="88"/>
      <c r="G24" s="88"/>
      <c r="H24" s="88"/>
      <c r="I24" s="88"/>
      <c r="J24" s="88"/>
      <c r="K24" s="88"/>
      <c r="L24" s="89"/>
      <c r="N24" s="72"/>
      <c r="O24" s="72"/>
    </row>
    <row r="25" spans="1:15" x14ac:dyDescent="0.2">
      <c r="A25" s="90"/>
      <c r="B25" s="91"/>
      <c r="C25" s="63" t="s">
        <v>96</v>
      </c>
      <c r="D25" s="62">
        <f>Wochenübersicht!F7</f>
        <v>-40</v>
      </c>
      <c r="E25" s="64">
        <f ca="1">IF(D25&lt;0,NOW()-E23+((D25*-1)/24),"")</f>
        <v>46080.666666666664</v>
      </c>
      <c r="F25" s="90" t="str">
        <f>IF(B3&lt;TIME(0,29,0),"+ 30 min. break","")</f>
        <v>+ 30 min. break</v>
      </c>
      <c r="G25" s="91"/>
      <c r="H25" s="90"/>
      <c r="I25" s="92"/>
      <c r="J25" s="92"/>
      <c r="K25" s="92"/>
      <c r="L25" s="91"/>
    </row>
    <row r="26" spans="1:15" x14ac:dyDescent="0.2">
      <c r="E26" s="79" t="s">
        <v>32</v>
      </c>
      <c r="F26" s="79"/>
      <c r="G26" s="79"/>
      <c r="H26" s="79"/>
      <c r="I26" s="79"/>
      <c r="J26" s="79"/>
      <c r="K26" s="79"/>
      <c r="L26" s="79"/>
    </row>
    <row r="27" spans="1:15" ht="16" customHeight="1" x14ac:dyDescent="0.2">
      <c r="D27" s="60"/>
      <c r="E27" s="80"/>
      <c r="F27" s="80"/>
      <c r="G27" s="80"/>
      <c r="H27" s="80"/>
      <c r="I27" s="80"/>
      <c r="J27" s="80"/>
      <c r="K27" s="80"/>
      <c r="L27" s="80"/>
    </row>
    <row r="28" spans="1:15" x14ac:dyDescent="0.2">
      <c r="D28" s="16"/>
      <c r="E28" s="80"/>
      <c r="F28" s="80"/>
      <c r="G28" s="80"/>
      <c r="H28" s="80"/>
      <c r="I28" s="80"/>
      <c r="J28" s="80"/>
      <c r="K28" s="80"/>
      <c r="L28" s="80"/>
    </row>
    <row r="29" spans="1:15" x14ac:dyDescent="0.2">
      <c r="E29" s="80"/>
      <c r="F29" s="80"/>
      <c r="G29" s="80"/>
      <c r="H29" s="80"/>
      <c r="I29" s="80"/>
      <c r="J29" s="80"/>
      <c r="K29" s="80"/>
      <c r="L29" s="80"/>
    </row>
    <row r="30" spans="1:15" x14ac:dyDescent="0.2">
      <c r="E30" s="80"/>
      <c r="F30" s="80"/>
      <c r="G30" s="80"/>
      <c r="H30" s="80"/>
      <c r="I30" s="80"/>
      <c r="J30" s="80"/>
      <c r="K30" s="80"/>
      <c r="L30" s="80"/>
    </row>
    <row r="31" spans="1:15" x14ac:dyDescent="0.2">
      <c r="E31" s="80"/>
      <c r="F31" s="80"/>
      <c r="G31" s="80"/>
      <c r="H31" s="80"/>
      <c r="I31" s="80"/>
      <c r="J31" s="80"/>
      <c r="K31" s="80"/>
      <c r="L31" s="80"/>
    </row>
    <row r="32" spans="1:15" x14ac:dyDescent="0.2">
      <c r="E32" s="80"/>
      <c r="F32" s="80"/>
      <c r="G32" s="80"/>
      <c r="H32" s="80"/>
      <c r="I32" s="80"/>
      <c r="J32" s="80"/>
      <c r="K32" s="80"/>
      <c r="L32" s="80"/>
    </row>
    <row r="33" spans="4:12" x14ac:dyDescent="0.2">
      <c r="D33" s="16"/>
      <c r="E33" s="80"/>
      <c r="F33" s="80"/>
      <c r="G33" s="80"/>
      <c r="H33" s="80"/>
      <c r="I33" s="80"/>
      <c r="J33" s="80"/>
      <c r="K33" s="80"/>
      <c r="L33" s="80"/>
    </row>
    <row r="34" spans="4:12" x14ac:dyDescent="0.2">
      <c r="D34" s="17"/>
      <c r="E34" s="80"/>
      <c r="F34" s="80"/>
      <c r="G34" s="80"/>
      <c r="H34" s="80"/>
      <c r="I34" s="80"/>
      <c r="J34" s="80"/>
      <c r="K34" s="80"/>
      <c r="L34" s="80"/>
    </row>
    <row r="35" spans="4:12" x14ac:dyDescent="0.2">
      <c r="E35" s="80"/>
      <c r="F35" s="80"/>
      <c r="G35" s="80"/>
      <c r="H35" s="80"/>
      <c r="I35" s="80"/>
      <c r="J35" s="80"/>
      <c r="K35" s="80"/>
      <c r="L35" s="80"/>
    </row>
    <row r="36" spans="4:12" x14ac:dyDescent="0.2">
      <c r="E36" s="80"/>
      <c r="F36" s="80"/>
      <c r="G36" s="80"/>
      <c r="H36" s="80"/>
      <c r="I36" s="80"/>
      <c r="J36" s="80"/>
      <c r="K36" s="80"/>
      <c r="L36" s="80"/>
    </row>
    <row r="37" spans="4:12" x14ac:dyDescent="0.2">
      <c r="E37" s="80"/>
      <c r="F37" s="80"/>
      <c r="G37" s="80"/>
      <c r="H37" s="80"/>
      <c r="I37" s="80"/>
      <c r="J37" s="80"/>
      <c r="K37" s="80"/>
      <c r="L37" s="80"/>
    </row>
    <row r="38" spans="4:12" x14ac:dyDescent="0.2">
      <c r="E38" s="80"/>
      <c r="F38" s="80"/>
      <c r="G38" s="80"/>
      <c r="H38" s="80"/>
      <c r="I38" s="80"/>
      <c r="J38" s="80"/>
      <c r="K38" s="80"/>
      <c r="L38" s="80"/>
    </row>
    <row r="39" spans="4:12" x14ac:dyDescent="0.2">
      <c r="E39" s="80"/>
      <c r="F39" s="80"/>
      <c r="G39" s="80"/>
      <c r="H39" s="80"/>
      <c r="I39" s="80"/>
      <c r="J39" s="80"/>
      <c r="K39" s="80"/>
      <c r="L39" s="80"/>
    </row>
    <row r="40" spans="4:12" x14ac:dyDescent="0.2">
      <c r="E40" s="80"/>
      <c r="F40" s="80"/>
      <c r="G40" s="80"/>
      <c r="H40" s="80"/>
      <c r="I40" s="80"/>
      <c r="J40" s="80"/>
      <c r="K40" s="80"/>
      <c r="L40" s="80"/>
    </row>
    <row r="41" spans="4:12" x14ac:dyDescent="0.2">
      <c r="E41" s="80"/>
      <c r="F41" s="80"/>
      <c r="G41" s="80"/>
      <c r="H41" s="80"/>
      <c r="I41" s="80"/>
      <c r="J41" s="80"/>
      <c r="K41" s="80"/>
      <c r="L41" s="80"/>
    </row>
    <row r="42" spans="4:12" x14ac:dyDescent="0.2">
      <c r="E42" s="80"/>
      <c r="F42" s="80"/>
      <c r="G42" s="80"/>
      <c r="H42" s="80"/>
      <c r="I42" s="80"/>
      <c r="J42" s="80"/>
      <c r="K42" s="80"/>
      <c r="L42" s="80"/>
    </row>
    <row r="43" spans="4:12" x14ac:dyDescent="0.2">
      <c r="E43" s="80"/>
      <c r="F43" s="80"/>
      <c r="G43" s="80"/>
      <c r="H43" s="80"/>
      <c r="I43" s="80"/>
      <c r="J43" s="80"/>
      <c r="K43" s="80"/>
      <c r="L43" s="80"/>
    </row>
    <row r="44" spans="4:12" x14ac:dyDescent="0.2">
      <c r="E44" s="80"/>
      <c r="F44" s="80"/>
      <c r="G44" s="80"/>
      <c r="H44" s="80"/>
      <c r="I44" s="80"/>
      <c r="J44" s="80"/>
      <c r="K44" s="80"/>
      <c r="L44" s="80"/>
    </row>
    <row r="45" spans="4:12" x14ac:dyDescent="0.2">
      <c r="E45" s="80"/>
      <c r="F45" s="80"/>
      <c r="G45" s="80"/>
      <c r="H45" s="80"/>
      <c r="I45" s="80"/>
      <c r="J45" s="80"/>
      <c r="K45" s="80"/>
      <c r="L45" s="80"/>
    </row>
    <row r="46" spans="4:12" x14ac:dyDescent="0.2">
      <c r="E46" s="80"/>
      <c r="F46" s="80"/>
      <c r="G46" s="80"/>
      <c r="H46" s="80"/>
      <c r="I46" s="80"/>
      <c r="J46" s="80"/>
      <c r="K46" s="80"/>
      <c r="L46" s="80"/>
    </row>
    <row r="47" spans="4:12" x14ac:dyDescent="0.2">
      <c r="E47" s="80"/>
      <c r="F47" s="80"/>
      <c r="G47" s="80"/>
      <c r="H47" s="80"/>
      <c r="I47" s="80"/>
      <c r="J47" s="80"/>
      <c r="K47" s="80"/>
      <c r="L47" s="80"/>
    </row>
    <row r="48" spans="4:12" x14ac:dyDescent="0.2">
      <c r="E48" s="80"/>
      <c r="F48" s="80"/>
      <c r="G48" s="80"/>
      <c r="H48" s="80"/>
      <c r="I48" s="80"/>
      <c r="J48" s="80"/>
      <c r="K48" s="80"/>
      <c r="L48" s="80"/>
    </row>
  </sheetData>
  <autoFilter ref="A6:L6" xr:uid="{BDE66A98-91DF-1543-992B-8DE9500625B1}">
    <filterColumn colId="4" showButton="0"/>
    <filterColumn colId="5" showButton="0"/>
    <filterColumn colId="6" showButton="0"/>
    <filterColumn colId="7" showButton="0"/>
    <filterColumn colId="8" showButton="0"/>
  </autoFilter>
  <mergeCells count="12">
    <mergeCell ref="K1:L1"/>
    <mergeCell ref="E6:J6"/>
    <mergeCell ref="E26:L26"/>
    <mergeCell ref="E27:L48"/>
    <mergeCell ref="A22:L22"/>
    <mergeCell ref="A23:C23"/>
    <mergeCell ref="E23:L23"/>
    <mergeCell ref="A24:C24"/>
    <mergeCell ref="E24:L24"/>
    <mergeCell ref="A25:B25"/>
    <mergeCell ref="F25:G25"/>
    <mergeCell ref="H25:L25"/>
  </mergeCells>
  <conditionalFormatting sqref="A14:A21">
    <cfRule type="expression" dxfId="85" priority="89">
      <formula>AND(C14&lt;&gt;"",A14="")</formula>
    </cfRule>
  </conditionalFormatting>
  <conditionalFormatting sqref="L7:L21">
    <cfRule type="containsText" dxfId="84" priority="82" operator="containsText" text="behind">
      <formula>NOT(ISERROR(SEARCH("behind",L7)))</formula>
    </cfRule>
    <cfRule type="containsText" dxfId="83" priority="83" operator="containsText" text="in progress">
      <formula>NOT(ISERROR(SEARCH("in progress",L7)))</formula>
    </cfRule>
    <cfRule type="containsText" dxfId="82" priority="84" operator="containsText" text="passt nicht">
      <formula>NOT(ISERROR(SEARCH("passt nicht",L7)))</formula>
    </cfRule>
    <cfRule type="containsText" dxfId="81" priority="85" operator="containsText" text="Fehler">
      <formula>NOT(ISERROR(SEARCH("Fehler",L7)))</formula>
    </cfRule>
    <cfRule type="containsText" dxfId="80" priority="86" operator="containsText" text="passt">
      <formula>NOT(ISERROR(SEARCH("passt",L7)))</formula>
    </cfRule>
    <cfRule type="containsText" dxfId="79" priority="87" operator="containsText" text="latest">
      <formula>NOT(ISERROR(SEARCH("latest",L7)))</formula>
    </cfRule>
  </conditionalFormatting>
  <conditionalFormatting sqref="K7:K21">
    <cfRule type="containsText" dxfId="78" priority="76" operator="containsText" text="behind">
      <formula>NOT(ISERROR(SEARCH("behind",K7)))</formula>
    </cfRule>
    <cfRule type="containsText" dxfId="77" priority="77" operator="containsText" text="in progress">
      <formula>NOT(ISERROR(SEARCH("in progress",K7)))</formula>
    </cfRule>
    <cfRule type="containsText" dxfId="76" priority="78" operator="containsText" text="passt nicht">
      <formula>NOT(ISERROR(SEARCH("passt nicht",K7)))</formula>
    </cfRule>
    <cfRule type="containsText" dxfId="75" priority="79" operator="containsText" text="Fehler">
      <formula>NOT(ISERROR(SEARCH("Fehler",K7)))</formula>
    </cfRule>
    <cfRule type="containsText" dxfId="74" priority="80" operator="containsText" text="passt">
      <formula>NOT(ISERROR(SEARCH("passt",K7)))</formula>
    </cfRule>
    <cfRule type="containsText" dxfId="73" priority="81" operator="containsText" text="latest">
      <formula>NOT(ISERROR(SEARCH("latest",K7)))</formula>
    </cfRule>
  </conditionalFormatting>
  <conditionalFormatting sqref="A13">
    <cfRule type="expression" dxfId="72" priority="60">
      <formula>AND(C13&lt;&gt;"",A13="")</formula>
    </cfRule>
  </conditionalFormatting>
  <conditionalFormatting sqref="A24 D24:E24">
    <cfRule type="expression" dxfId="71" priority="47">
      <formula>($D$24-$B$4)&gt;0</formula>
    </cfRule>
  </conditionalFormatting>
  <conditionalFormatting sqref="D23">
    <cfRule type="expression" dxfId="70" priority="46">
      <formula>ISERROR(SEARCH("-", $D$23))=TRUE</formula>
    </cfRule>
  </conditionalFormatting>
  <conditionalFormatting sqref="A25 H25">
    <cfRule type="expression" dxfId="69" priority="40">
      <formula>$D$25&gt;=0</formula>
    </cfRule>
  </conditionalFormatting>
  <conditionalFormatting sqref="D25">
    <cfRule type="expression" dxfId="68" priority="39">
      <formula>$D$25&gt;=0</formula>
    </cfRule>
  </conditionalFormatting>
  <conditionalFormatting sqref="C25">
    <cfRule type="expression" dxfId="67" priority="38">
      <formula>$D$25&gt;=0</formula>
    </cfRule>
  </conditionalFormatting>
  <conditionalFormatting sqref="E25">
    <cfRule type="expression" dxfId="66" priority="37">
      <formula>$D$25&gt;=0</formula>
    </cfRule>
  </conditionalFormatting>
  <conditionalFormatting sqref="F25">
    <cfRule type="expression" dxfId="65" priority="36">
      <formula>$D$25&gt;=0</formula>
    </cfRule>
  </conditionalFormatting>
  <conditionalFormatting sqref="A12">
    <cfRule type="expression" dxfId="64" priority="32">
      <formula>AND(C12&lt;&gt;"",A12="")</formula>
    </cfRule>
  </conditionalFormatting>
  <conditionalFormatting sqref="A11">
    <cfRule type="expression" dxfId="63" priority="26">
      <formula>AND(C11&lt;&gt;"",A11="")</formula>
    </cfRule>
  </conditionalFormatting>
  <conditionalFormatting sqref="A11">
    <cfRule type="expression" dxfId="62" priority="25">
      <formula>AND(C11&lt;&gt;"",A11="")</formula>
    </cfRule>
  </conditionalFormatting>
  <conditionalFormatting sqref="A10">
    <cfRule type="expression" dxfId="61" priority="12">
      <formula>AND(C10&lt;&gt;"",A10="")</formula>
    </cfRule>
  </conditionalFormatting>
  <conditionalFormatting sqref="A7">
    <cfRule type="expression" dxfId="60" priority="5">
      <formula>AND(C7&lt;&gt;"",A7="")</formula>
    </cfRule>
  </conditionalFormatting>
  <conditionalFormatting sqref="A7">
    <cfRule type="expression" dxfId="59" priority="4">
      <formula>AND(C7&lt;&gt;"",A7="")</formula>
    </cfRule>
  </conditionalFormatting>
  <conditionalFormatting sqref="A8">
    <cfRule type="expression" dxfId="58" priority="3">
      <formula>AND(C8&lt;&gt;"",A8="")</formula>
    </cfRule>
  </conditionalFormatting>
  <conditionalFormatting sqref="A8">
    <cfRule type="expression" dxfId="57" priority="2">
      <formula>AND(C8&lt;&gt;"",A8="")</formula>
    </cfRule>
  </conditionalFormatting>
  <conditionalFormatting sqref="A9">
    <cfRule type="expression" dxfId="56" priority="1">
      <formula>AND(C9&lt;&gt;"",A9="")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2B91DC-9E46-5C40-99E3-4F616278E987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76F62641-2561-E946-A77C-1EE5AAF34C90}">
          <x14:formula1>
            <xm:f>'VBA-Settings'!$D$4:$D$54</xm:f>
          </x14:formula1>
          <xm:sqref>B7:B21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C1221-CA82-FB4D-9B85-2248E3873ACE}">
  <sheetPr codeName="Tabelle25"/>
  <dimension ref="A1:O48"/>
  <sheetViews>
    <sheetView zoomScaleNormal="100" workbookViewId="0">
      <selection activeCell="E3" sqref="E3:G4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4" t="s">
        <v>14</v>
      </c>
      <c r="B1" s="3"/>
      <c r="C1" s="28" t="s">
        <v>47</v>
      </c>
      <c r="D1" s="4"/>
      <c r="K1" s="76" t="s">
        <v>15</v>
      </c>
      <c r="L1" s="77"/>
    </row>
    <row r="2" spans="1:14" x14ac:dyDescent="0.2">
      <c r="A2" s="34" t="s">
        <v>16</v>
      </c>
      <c r="B2" s="5"/>
      <c r="C2" s="29" t="s">
        <v>48</v>
      </c>
      <c r="K2" s="6" t="s">
        <v>17</v>
      </c>
      <c r="L2" s="7" t="s">
        <v>18</v>
      </c>
    </row>
    <row r="3" spans="1:14" x14ac:dyDescent="0.2">
      <c r="A3" s="35" t="s">
        <v>19</v>
      </c>
      <c r="B3" s="5"/>
      <c r="C3" s="4"/>
      <c r="K3" s="6" t="s">
        <v>20</v>
      </c>
      <c r="L3" s="7" t="s">
        <v>21</v>
      </c>
    </row>
    <row r="4" spans="1:14" ht="17" thickBot="1" x14ac:dyDescent="0.25">
      <c r="A4" s="35" t="s">
        <v>22</v>
      </c>
      <c r="B4" s="5"/>
      <c r="C4" s="4"/>
      <c r="E4" s="4"/>
      <c r="F4" s="4"/>
      <c r="K4" s="8" t="s">
        <v>23</v>
      </c>
      <c r="L4" s="9" t="s">
        <v>24</v>
      </c>
    </row>
    <row r="6" spans="1:14" x14ac:dyDescent="0.2">
      <c r="A6" s="36" t="s">
        <v>25</v>
      </c>
      <c r="B6" s="36" t="s">
        <v>26</v>
      </c>
      <c r="C6" s="36" t="s">
        <v>27</v>
      </c>
      <c r="D6" s="36" t="s">
        <v>28</v>
      </c>
      <c r="E6" s="78" t="s">
        <v>29</v>
      </c>
      <c r="F6" s="78"/>
      <c r="G6" s="78"/>
      <c r="H6" s="78"/>
      <c r="I6" s="78"/>
      <c r="J6" s="78"/>
      <c r="K6" s="36" t="s">
        <v>30</v>
      </c>
      <c r="L6" s="36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3"/>
      <c r="L7" s="33"/>
    </row>
    <row r="8" spans="1:14" x14ac:dyDescent="0.2">
      <c r="A8" s="10"/>
      <c r="B8" s="11"/>
      <c r="C8" s="69"/>
      <c r="D8" s="13">
        <f t="shared" si="0"/>
        <v>0</v>
      </c>
      <c r="E8" s="14"/>
      <c r="F8" s="14"/>
      <c r="G8" s="14"/>
      <c r="H8" s="14"/>
      <c r="I8" s="14"/>
      <c r="J8" s="14"/>
      <c r="K8" s="33"/>
      <c r="L8" s="33"/>
      <c r="M8" s="4"/>
    </row>
    <row r="9" spans="1:14" x14ac:dyDescent="0.2">
      <c r="A9" s="10"/>
      <c r="B9" s="11"/>
      <c r="C9" s="69"/>
      <c r="D9" s="13">
        <f t="shared" si="0"/>
        <v>0</v>
      </c>
      <c r="E9" s="14"/>
      <c r="F9" s="14"/>
      <c r="G9" s="14"/>
      <c r="H9" s="14"/>
      <c r="I9" s="14"/>
      <c r="J9" s="14"/>
      <c r="K9" s="33"/>
      <c r="L9" s="33"/>
      <c r="M9" s="4"/>
    </row>
    <row r="10" spans="1:14" x14ac:dyDescent="0.2">
      <c r="A10" s="10"/>
      <c r="B10" s="11"/>
      <c r="C10" s="69"/>
      <c r="D10" s="13">
        <f t="shared" si="0"/>
        <v>0</v>
      </c>
      <c r="E10" s="14"/>
      <c r="F10" s="14"/>
      <c r="G10" s="14"/>
      <c r="H10" s="14"/>
      <c r="I10" s="14"/>
      <c r="J10" s="14"/>
      <c r="K10" s="33"/>
      <c r="L10" s="33"/>
    </row>
    <row r="11" spans="1:14" x14ac:dyDescent="0.2">
      <c r="A11" s="10"/>
      <c r="B11" s="11"/>
      <c r="C11" s="69"/>
      <c r="D11" s="13">
        <f t="shared" si="0"/>
        <v>0</v>
      </c>
      <c r="E11" s="14"/>
      <c r="F11" s="14"/>
      <c r="G11" s="14"/>
      <c r="H11" s="14"/>
      <c r="I11" s="14"/>
      <c r="J11" s="14"/>
      <c r="K11" s="33"/>
      <c r="L11" s="33"/>
    </row>
    <row r="12" spans="1:14" x14ac:dyDescent="0.2">
      <c r="A12" s="10"/>
      <c r="B12" s="11"/>
      <c r="C12" s="69"/>
      <c r="D12" s="13">
        <f t="shared" si="0"/>
        <v>0</v>
      </c>
      <c r="E12" s="14"/>
      <c r="F12" s="14"/>
      <c r="G12" s="14"/>
      <c r="H12" s="14"/>
      <c r="I12" s="14"/>
      <c r="J12" s="15"/>
      <c r="K12" s="33"/>
      <c r="L12" s="33"/>
    </row>
    <row r="13" spans="1:14" x14ac:dyDescent="0.2">
      <c r="A13" s="10"/>
      <c r="B13" s="11"/>
      <c r="C13" s="69"/>
      <c r="D13" s="13">
        <f t="shared" si="0"/>
        <v>0</v>
      </c>
      <c r="E13" s="14"/>
      <c r="F13" s="14"/>
      <c r="G13" s="14"/>
      <c r="H13" s="14"/>
      <c r="I13" s="15"/>
      <c r="J13" s="15"/>
      <c r="K13" s="33"/>
      <c r="L13" s="33"/>
    </row>
    <row r="14" spans="1:14" x14ac:dyDescent="0.2">
      <c r="A14" s="10"/>
      <c r="B14" s="11"/>
      <c r="C14" s="69"/>
      <c r="D14" s="13">
        <f t="shared" si="0"/>
        <v>0</v>
      </c>
      <c r="E14" s="14"/>
      <c r="F14" s="14"/>
      <c r="G14" s="14"/>
      <c r="H14" s="14"/>
      <c r="I14" s="14"/>
      <c r="J14" s="15"/>
      <c r="K14" s="33"/>
      <c r="L14" s="33"/>
    </row>
    <row r="15" spans="1:14" x14ac:dyDescent="0.2">
      <c r="A15" s="10"/>
      <c r="B15" s="11"/>
      <c r="C15" s="69"/>
      <c r="D15" s="13">
        <f t="shared" si="0"/>
        <v>0</v>
      </c>
      <c r="E15" s="14"/>
      <c r="F15" s="14"/>
      <c r="G15" s="14"/>
      <c r="H15" s="15"/>
      <c r="I15" s="15"/>
      <c r="J15" s="15"/>
      <c r="K15" s="33"/>
      <c r="L15" s="33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3"/>
      <c r="L16" s="33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3"/>
      <c r="L17" s="33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3"/>
      <c r="L18" s="33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3"/>
      <c r="L19" s="33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3"/>
      <c r="L20" s="33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3"/>
      <c r="L21" s="33"/>
      <c r="N21" s="4"/>
    </row>
    <row r="22" spans="1:14" x14ac:dyDescent="0.2">
      <c r="A22" s="93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5"/>
      <c r="N22" s="4"/>
    </row>
    <row r="23" spans="1:14" x14ac:dyDescent="0.2">
      <c r="A23" s="81"/>
      <c r="B23" s="82"/>
      <c r="C23" s="83"/>
      <c r="D23" s="31" t="str">
        <f ca="1">IF((MOD(NOW(),1)-B2-D24-B3)&lt; 0, "-" &amp; TEXT(ABS((MOD(NOW(),1)-B2-D24-B3)), "hh:mm"), TEXT((MOD(NOW(),1)-B2-D24-B3), "hh:mm"))</f>
        <v>10:42</v>
      </c>
      <c r="E23" s="84">
        <f ca="1">IF((MOD(NOW(),1)-B2-D24-B3)&lt;0, (MOD(NOW(),1)-B2-D24-B3) + 1, MOD(NOW(),1)-B2-D24-B3)</f>
        <v>0.44647129629447591</v>
      </c>
      <c r="F23" s="85"/>
      <c r="G23" s="85"/>
      <c r="H23" s="85"/>
      <c r="I23" s="85"/>
      <c r="J23" s="85"/>
      <c r="K23" s="85"/>
      <c r="L23" s="86"/>
      <c r="N23" s="4"/>
    </row>
    <row r="24" spans="1:14" x14ac:dyDescent="0.2">
      <c r="A24" s="87"/>
      <c r="B24" s="88"/>
      <c r="C24" s="89"/>
      <c r="D24" s="32">
        <f>SUM(D7:D21)</f>
        <v>0</v>
      </c>
      <c r="E24" s="87"/>
      <c r="F24" s="88"/>
      <c r="G24" s="88"/>
      <c r="H24" s="88"/>
      <c r="I24" s="88"/>
      <c r="J24" s="88"/>
      <c r="K24" s="88"/>
      <c r="L24" s="89"/>
      <c r="M24" s="16"/>
    </row>
    <row r="25" spans="1:14" x14ac:dyDescent="0.2">
      <c r="A25" s="90"/>
      <c r="B25" s="91"/>
      <c r="C25" s="63" t="s">
        <v>96</v>
      </c>
      <c r="D25" s="62">
        <f>Wochenübersicht!G7</f>
        <v>-40</v>
      </c>
      <c r="E25" s="64">
        <f ca="1">IF(D25&lt;0,NOW()-E23+((D25*-1)/24),"")</f>
        <v>46080.666666666664</v>
      </c>
      <c r="F25" s="90" t="str">
        <f>IF(B3&lt;TIME(0,29,0),"+ 30 min. break","")</f>
        <v>+ 30 min. break</v>
      </c>
      <c r="G25" s="91"/>
      <c r="H25" s="90"/>
      <c r="I25" s="92"/>
      <c r="J25" s="92"/>
      <c r="K25" s="92"/>
      <c r="L25" s="91"/>
    </row>
    <row r="26" spans="1:14" x14ac:dyDescent="0.2">
      <c r="E26" s="79" t="s">
        <v>32</v>
      </c>
      <c r="F26" s="79"/>
      <c r="G26" s="79"/>
      <c r="H26" s="79"/>
      <c r="I26" s="79"/>
      <c r="J26" s="79"/>
      <c r="K26" s="79"/>
      <c r="L26" s="79"/>
    </row>
    <row r="27" spans="1:14" ht="16" customHeight="1" x14ac:dyDescent="0.2">
      <c r="E27" s="80"/>
      <c r="F27" s="80"/>
      <c r="G27" s="80"/>
      <c r="H27" s="80"/>
      <c r="I27" s="80"/>
      <c r="J27" s="80"/>
      <c r="K27" s="80"/>
      <c r="L27" s="80"/>
    </row>
    <row r="28" spans="1:14" x14ac:dyDescent="0.2">
      <c r="D28" s="16"/>
      <c r="E28" s="80"/>
      <c r="F28" s="80"/>
      <c r="G28" s="80"/>
      <c r="H28" s="80"/>
      <c r="I28" s="80"/>
      <c r="J28" s="80"/>
      <c r="K28" s="80"/>
      <c r="L28" s="80"/>
    </row>
    <row r="29" spans="1:14" x14ac:dyDescent="0.2">
      <c r="E29" s="80"/>
      <c r="F29" s="80"/>
      <c r="G29" s="80"/>
      <c r="H29" s="80"/>
      <c r="I29" s="80"/>
      <c r="J29" s="80"/>
      <c r="K29" s="80"/>
      <c r="L29" s="80"/>
    </row>
    <row r="30" spans="1:14" x14ac:dyDescent="0.2">
      <c r="E30" s="80"/>
      <c r="F30" s="80"/>
      <c r="G30" s="80"/>
      <c r="H30" s="80"/>
      <c r="I30" s="80"/>
      <c r="J30" s="80"/>
      <c r="K30" s="80"/>
      <c r="L30" s="80"/>
    </row>
    <row r="31" spans="1:14" x14ac:dyDescent="0.2">
      <c r="E31" s="80"/>
      <c r="F31" s="80"/>
      <c r="G31" s="80"/>
      <c r="H31" s="80"/>
      <c r="I31" s="80"/>
      <c r="J31" s="80"/>
      <c r="K31" s="80"/>
      <c r="L31" s="80"/>
    </row>
    <row r="32" spans="1:14" x14ac:dyDescent="0.2">
      <c r="E32" s="80"/>
      <c r="F32" s="80"/>
      <c r="G32" s="80"/>
      <c r="H32" s="80"/>
      <c r="I32" s="80"/>
      <c r="J32" s="80"/>
      <c r="K32" s="80"/>
      <c r="L32" s="80"/>
    </row>
    <row r="33" spans="4:15" x14ac:dyDescent="0.2">
      <c r="D33" s="16"/>
      <c r="E33" s="80"/>
      <c r="F33" s="80"/>
      <c r="G33" s="80"/>
      <c r="H33" s="80"/>
      <c r="I33" s="80"/>
      <c r="J33" s="80"/>
      <c r="K33" s="80"/>
      <c r="L33" s="80"/>
    </row>
    <row r="34" spans="4:15" x14ac:dyDescent="0.2">
      <c r="D34" s="17"/>
      <c r="E34" s="80"/>
      <c r="F34" s="80"/>
      <c r="G34" s="80"/>
      <c r="H34" s="80"/>
      <c r="I34" s="80"/>
      <c r="J34" s="80"/>
      <c r="K34" s="80"/>
      <c r="L34" s="80"/>
    </row>
    <row r="35" spans="4:15" x14ac:dyDescent="0.2">
      <c r="E35" s="80"/>
      <c r="F35" s="80"/>
      <c r="G35" s="80"/>
      <c r="H35" s="80"/>
      <c r="I35" s="80"/>
      <c r="J35" s="80"/>
      <c r="K35" s="80"/>
      <c r="L35" s="80"/>
    </row>
    <row r="36" spans="4:15" x14ac:dyDescent="0.2">
      <c r="E36" s="80"/>
      <c r="F36" s="80"/>
      <c r="G36" s="80"/>
      <c r="H36" s="80"/>
      <c r="I36" s="80"/>
      <c r="J36" s="80"/>
      <c r="K36" s="80"/>
      <c r="L36" s="80"/>
      <c r="O36" s="19"/>
    </row>
    <row r="37" spans="4:15" x14ac:dyDescent="0.2">
      <c r="E37" s="80"/>
      <c r="F37" s="80"/>
      <c r="G37" s="80"/>
      <c r="H37" s="80"/>
      <c r="I37" s="80"/>
      <c r="J37" s="80"/>
      <c r="K37" s="80"/>
      <c r="L37" s="80"/>
    </row>
    <row r="38" spans="4:15" x14ac:dyDescent="0.2">
      <c r="E38" s="80"/>
      <c r="F38" s="80"/>
      <c r="G38" s="80"/>
      <c r="H38" s="80"/>
      <c r="I38" s="80"/>
      <c r="J38" s="80"/>
      <c r="K38" s="80"/>
      <c r="L38" s="80"/>
    </row>
    <row r="39" spans="4:15" x14ac:dyDescent="0.2">
      <c r="E39" s="80"/>
      <c r="F39" s="80"/>
      <c r="G39" s="80"/>
      <c r="H39" s="80"/>
      <c r="I39" s="80"/>
      <c r="J39" s="80"/>
      <c r="K39" s="80"/>
      <c r="L39" s="80"/>
    </row>
    <row r="40" spans="4:15" x14ac:dyDescent="0.2">
      <c r="E40" s="80"/>
      <c r="F40" s="80"/>
      <c r="G40" s="80"/>
      <c r="H40" s="80"/>
      <c r="I40" s="80"/>
      <c r="J40" s="80"/>
      <c r="K40" s="80"/>
      <c r="L40" s="80"/>
    </row>
    <row r="41" spans="4:15" x14ac:dyDescent="0.2">
      <c r="E41" s="80"/>
      <c r="F41" s="80"/>
      <c r="G41" s="80"/>
      <c r="H41" s="80"/>
      <c r="I41" s="80"/>
      <c r="J41" s="80"/>
      <c r="K41" s="80"/>
      <c r="L41" s="80"/>
    </row>
    <row r="42" spans="4:15" x14ac:dyDescent="0.2">
      <c r="E42" s="80"/>
      <c r="F42" s="80"/>
      <c r="G42" s="80"/>
      <c r="H42" s="80"/>
      <c r="I42" s="80"/>
      <c r="J42" s="80"/>
      <c r="K42" s="80"/>
      <c r="L42" s="80"/>
    </row>
    <row r="43" spans="4:15" x14ac:dyDescent="0.2">
      <c r="E43" s="80"/>
      <c r="F43" s="80"/>
      <c r="G43" s="80"/>
      <c r="H43" s="80"/>
      <c r="I43" s="80"/>
      <c r="J43" s="80"/>
      <c r="K43" s="80"/>
      <c r="L43" s="80"/>
    </row>
    <row r="44" spans="4:15" x14ac:dyDescent="0.2">
      <c r="E44" s="80"/>
      <c r="F44" s="80"/>
      <c r="G44" s="80"/>
      <c r="H44" s="80"/>
      <c r="I44" s="80"/>
      <c r="J44" s="80"/>
      <c r="K44" s="80"/>
      <c r="L44" s="80"/>
    </row>
    <row r="45" spans="4:15" x14ac:dyDescent="0.2">
      <c r="E45" s="80"/>
      <c r="F45" s="80"/>
      <c r="G45" s="80"/>
      <c r="H45" s="80"/>
      <c r="I45" s="80"/>
      <c r="J45" s="80"/>
      <c r="K45" s="80"/>
      <c r="L45" s="80"/>
    </row>
    <row r="46" spans="4:15" x14ac:dyDescent="0.2">
      <c r="E46" s="80"/>
      <c r="F46" s="80"/>
      <c r="G46" s="80"/>
      <c r="H46" s="80"/>
      <c r="I46" s="80"/>
      <c r="J46" s="80"/>
      <c r="K46" s="80"/>
      <c r="L46" s="80"/>
    </row>
    <row r="47" spans="4:15" x14ac:dyDescent="0.2">
      <c r="E47" s="80"/>
      <c r="F47" s="80"/>
      <c r="G47" s="80"/>
      <c r="H47" s="80"/>
      <c r="I47" s="80"/>
      <c r="J47" s="80"/>
      <c r="K47" s="80"/>
      <c r="L47" s="80"/>
    </row>
    <row r="48" spans="4:15" x14ac:dyDescent="0.2">
      <c r="E48" s="80"/>
      <c r="F48" s="80"/>
      <c r="G48" s="80"/>
      <c r="H48" s="80"/>
      <c r="I48" s="80"/>
      <c r="J48" s="80"/>
      <c r="K48" s="80"/>
      <c r="L48" s="80"/>
    </row>
  </sheetData>
  <autoFilter ref="A6:L6" xr:uid="{5E8C1221-CA82-FB4D-9B85-2248E3873ACE}">
    <filterColumn colId="4" showButton="0"/>
    <filterColumn colId="5" showButton="0"/>
    <filterColumn colId="6" showButton="0"/>
    <filterColumn colId="7" showButton="0"/>
    <filterColumn colId="8" showButton="0"/>
  </autoFilter>
  <mergeCells count="12">
    <mergeCell ref="K1:L1"/>
    <mergeCell ref="E6:J6"/>
    <mergeCell ref="E26:L26"/>
    <mergeCell ref="E27:L48"/>
    <mergeCell ref="A22:L22"/>
    <mergeCell ref="A23:C23"/>
    <mergeCell ref="E23:L23"/>
    <mergeCell ref="A24:C24"/>
    <mergeCell ref="E24:L24"/>
    <mergeCell ref="A25:B25"/>
    <mergeCell ref="F25:G25"/>
    <mergeCell ref="H25:L25"/>
  </mergeCells>
  <conditionalFormatting sqref="A8:A21">
    <cfRule type="expression" dxfId="55" priority="50">
      <formula>AND(C8&lt;&gt;"",A8="")</formula>
    </cfRule>
  </conditionalFormatting>
  <conditionalFormatting sqref="A8:A21">
    <cfRule type="expression" dxfId="54" priority="34">
      <formula>AND(C8&lt;&gt;"",A8="")</formula>
    </cfRule>
  </conditionalFormatting>
  <conditionalFormatting sqref="L7:L21">
    <cfRule type="containsText" dxfId="53" priority="28" operator="containsText" text="behind">
      <formula>NOT(ISERROR(SEARCH("behind",L7)))</formula>
    </cfRule>
    <cfRule type="containsText" dxfId="52" priority="29" operator="containsText" text="in progress">
      <formula>NOT(ISERROR(SEARCH("in progress",L7)))</formula>
    </cfRule>
    <cfRule type="containsText" dxfId="51" priority="30" operator="containsText" text="passt nicht">
      <formula>NOT(ISERROR(SEARCH("passt nicht",L7)))</formula>
    </cfRule>
    <cfRule type="containsText" dxfId="50" priority="31" operator="containsText" text="Fehler">
      <formula>NOT(ISERROR(SEARCH("Fehler",L7)))</formula>
    </cfRule>
    <cfRule type="containsText" dxfId="49" priority="32" operator="containsText" text="passt">
      <formula>NOT(ISERROR(SEARCH("passt",L7)))</formula>
    </cfRule>
    <cfRule type="containsText" dxfId="48" priority="33" operator="containsText" text="latest">
      <formula>NOT(ISERROR(SEARCH("latest",L7)))</formula>
    </cfRule>
  </conditionalFormatting>
  <conditionalFormatting sqref="K7:K21">
    <cfRule type="containsText" dxfId="47" priority="22" operator="containsText" text="behind">
      <formula>NOT(ISERROR(SEARCH("behind",K7)))</formula>
    </cfRule>
    <cfRule type="containsText" dxfId="46" priority="23" operator="containsText" text="in progress">
      <formula>NOT(ISERROR(SEARCH("in progress",K7)))</formula>
    </cfRule>
    <cfRule type="containsText" dxfId="45" priority="24" operator="containsText" text="passt nicht">
      <formula>NOT(ISERROR(SEARCH("passt nicht",K7)))</formula>
    </cfRule>
    <cfRule type="containsText" dxfId="44" priority="25" operator="containsText" text="Fehler">
      <formula>NOT(ISERROR(SEARCH("Fehler",K7)))</formula>
    </cfRule>
    <cfRule type="containsText" dxfId="43" priority="26" operator="containsText" text="passt">
      <formula>NOT(ISERROR(SEARCH("passt",K7)))</formula>
    </cfRule>
    <cfRule type="containsText" dxfId="42" priority="27" operator="containsText" text="latest">
      <formula>NOT(ISERROR(SEARCH("latest",K7)))</formula>
    </cfRule>
  </conditionalFormatting>
  <conditionalFormatting sqref="A24 D24:E24">
    <cfRule type="expression" dxfId="41" priority="13">
      <formula>($D$24-$B$4)&gt;0</formula>
    </cfRule>
  </conditionalFormatting>
  <conditionalFormatting sqref="D23">
    <cfRule type="expression" dxfId="40" priority="12">
      <formula>ISERROR(SEARCH("-", $D$23))=TRUE</formula>
    </cfRule>
  </conditionalFormatting>
  <conditionalFormatting sqref="A25 H25">
    <cfRule type="expression" dxfId="39" priority="6">
      <formula>$D$25&gt;=0</formula>
    </cfRule>
  </conditionalFormatting>
  <conditionalFormatting sqref="D25">
    <cfRule type="expression" dxfId="38" priority="5">
      <formula>$D$25&gt;=0</formula>
    </cfRule>
  </conditionalFormatting>
  <conditionalFormatting sqref="C25">
    <cfRule type="expression" dxfId="37" priority="4">
      <formula>$D$25&gt;=0</formula>
    </cfRule>
  </conditionalFormatting>
  <conditionalFormatting sqref="E25">
    <cfRule type="expression" dxfId="36" priority="3">
      <formula>$D$25&gt;=0</formula>
    </cfRule>
  </conditionalFormatting>
  <conditionalFormatting sqref="F25">
    <cfRule type="expression" dxfId="35" priority="2">
      <formula>$D$25&gt;=0</formula>
    </cfRule>
  </conditionalFormatting>
  <conditionalFormatting sqref="A7">
    <cfRule type="expression" dxfId="34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A2F1E0-D73F-A445-9F6F-13914E373350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303BE85B-DD28-7E43-9EF6-085B81DE7C84}">
          <x14:formula1>
            <xm:f>'VBA-Settings'!$B$4:$B$54</xm:f>
          </x14:formula1>
          <xm:sqref>A7:A21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1BD27-41FC-2641-846C-DE39C784452A}">
  <sheetPr codeName="Tabelle26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4" t="s">
        <v>14</v>
      </c>
      <c r="B1" s="3"/>
      <c r="C1" s="28" t="s">
        <v>47</v>
      </c>
      <c r="D1" s="4"/>
      <c r="K1" s="76" t="s">
        <v>15</v>
      </c>
      <c r="L1" s="77"/>
    </row>
    <row r="2" spans="1:14" x14ac:dyDescent="0.2">
      <c r="A2" s="34" t="s">
        <v>16</v>
      </c>
      <c r="B2" s="30"/>
      <c r="C2" s="29" t="s">
        <v>48</v>
      </c>
      <c r="K2" s="6" t="s">
        <v>17</v>
      </c>
      <c r="L2" s="7" t="s">
        <v>18</v>
      </c>
    </row>
    <row r="3" spans="1:14" x14ac:dyDescent="0.2">
      <c r="A3" s="35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5" t="s">
        <v>22</v>
      </c>
      <c r="B4" s="5"/>
      <c r="C4" s="4">
        <v>0.5</v>
      </c>
      <c r="K4" s="8" t="s">
        <v>23</v>
      </c>
      <c r="L4" s="9" t="s">
        <v>24</v>
      </c>
    </row>
    <row r="6" spans="1:14" x14ac:dyDescent="0.2">
      <c r="A6" s="36" t="s">
        <v>25</v>
      </c>
      <c r="B6" s="36" t="s">
        <v>26</v>
      </c>
      <c r="C6" s="36" t="s">
        <v>27</v>
      </c>
      <c r="D6" s="36" t="s">
        <v>28</v>
      </c>
      <c r="E6" s="78" t="s">
        <v>29</v>
      </c>
      <c r="F6" s="78"/>
      <c r="G6" s="78"/>
      <c r="H6" s="78"/>
      <c r="I6" s="78"/>
      <c r="J6" s="78"/>
      <c r="K6" s="36" t="s">
        <v>30</v>
      </c>
      <c r="L6" s="36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14"/>
      <c r="G7" s="14"/>
      <c r="H7" s="14"/>
      <c r="I7" s="14"/>
      <c r="J7" s="14"/>
      <c r="K7" s="33"/>
      <c r="L7" s="33"/>
    </row>
    <row r="8" spans="1:14" x14ac:dyDescent="0.2">
      <c r="A8" s="10"/>
      <c r="B8" s="11"/>
      <c r="C8" s="12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3"/>
      <c r="L8" s="33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3"/>
      <c r="L9" s="33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3"/>
      <c r="L10" s="33"/>
    </row>
    <row r="11" spans="1:14" x14ac:dyDescent="0.2">
      <c r="A11" s="10"/>
      <c r="B11" s="11"/>
      <c r="C11" s="12"/>
      <c r="D11" s="13">
        <f t="shared" si="1"/>
        <v>0</v>
      </c>
      <c r="E11" s="14"/>
      <c r="F11" s="14"/>
      <c r="G11" s="14"/>
      <c r="H11" s="14"/>
      <c r="I11" s="14"/>
      <c r="J11" s="14"/>
      <c r="K11" s="33"/>
      <c r="L11" s="33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3"/>
      <c r="L12" s="33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3"/>
      <c r="L13" s="33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3"/>
      <c r="L14" s="33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3"/>
      <c r="L15" s="33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3"/>
      <c r="L16" s="33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3"/>
      <c r="L17" s="33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3"/>
      <c r="L18" s="33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3"/>
      <c r="L19" s="33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3"/>
      <c r="L20" s="33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3"/>
      <c r="L21" s="33"/>
      <c r="N21" s="4"/>
    </row>
    <row r="22" spans="1:14" x14ac:dyDescent="0.2">
      <c r="A22" s="93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5"/>
      <c r="N22" s="4"/>
    </row>
    <row r="23" spans="1:14" x14ac:dyDescent="0.2">
      <c r="A23" s="81"/>
      <c r="B23" s="82"/>
      <c r="C23" s="83"/>
      <c r="D23" s="31" t="str">
        <f ca="1">IF((MOD(NOW(),1)-B2-D24-B3)&lt; 0, "-" &amp; TEXT(ABS((MOD(NOW(),1)-B2-D24-B3)), "hh:mm"), TEXT((MOD(NOW(),1)-B2-D24-B3), "hh:mm"))</f>
        <v>10:42</v>
      </c>
      <c r="E23" s="84">
        <f ca="1">IF((MOD(NOW(),1)-B2-D24-B3)&lt;0, (MOD(NOW(),1)-B2-D24-B3) + 1, MOD(NOW(),1)-B2-D24-B3)</f>
        <v>0.44647129629447591</v>
      </c>
      <c r="F23" s="85"/>
      <c r="G23" s="85"/>
      <c r="H23" s="85"/>
      <c r="I23" s="85"/>
      <c r="J23" s="85"/>
      <c r="K23" s="85"/>
      <c r="L23" s="86"/>
      <c r="N23" s="4"/>
    </row>
    <row r="24" spans="1:14" x14ac:dyDescent="0.2">
      <c r="A24" s="87"/>
      <c r="B24" s="88"/>
      <c r="C24" s="89"/>
      <c r="D24" s="32">
        <f>SUM(D7:D21)</f>
        <v>0</v>
      </c>
      <c r="E24" s="87"/>
      <c r="F24" s="88"/>
      <c r="G24" s="88"/>
      <c r="H24" s="88"/>
      <c r="I24" s="88"/>
      <c r="J24" s="88"/>
      <c r="K24" s="88"/>
      <c r="L24" s="89"/>
      <c r="M24" s="16"/>
    </row>
    <row r="25" spans="1:14" x14ac:dyDescent="0.2">
      <c r="A25" s="90"/>
      <c r="B25" s="91"/>
      <c r="C25" s="63" t="s">
        <v>96</v>
      </c>
      <c r="D25" s="62">
        <f>Wochenübersicht!H7</f>
        <v>-40</v>
      </c>
      <c r="E25" s="64">
        <f ca="1">IF(D25&lt;0,NOW()-E23+((D25*-1)/24),"")</f>
        <v>46080.666666666664</v>
      </c>
      <c r="F25" s="90" t="str">
        <f>IF(B3&lt;TIME(0,29,0),"+ 30 min. break","")</f>
        <v>+ 30 min. break</v>
      </c>
      <c r="G25" s="91"/>
      <c r="H25" s="90"/>
      <c r="I25" s="92"/>
      <c r="J25" s="92"/>
      <c r="K25" s="92"/>
      <c r="L25" s="91"/>
    </row>
    <row r="26" spans="1:14" x14ac:dyDescent="0.2">
      <c r="E26" s="79" t="s">
        <v>32</v>
      </c>
      <c r="F26" s="79"/>
      <c r="G26" s="79"/>
      <c r="H26" s="79"/>
      <c r="I26" s="79"/>
      <c r="J26" s="79"/>
      <c r="K26" s="79"/>
      <c r="L26" s="79"/>
    </row>
    <row r="27" spans="1:14" ht="16" customHeight="1" x14ac:dyDescent="0.2">
      <c r="E27" s="80"/>
      <c r="F27" s="80"/>
      <c r="G27" s="80"/>
      <c r="H27" s="80"/>
      <c r="I27" s="80"/>
      <c r="J27" s="80"/>
      <c r="K27" s="80"/>
      <c r="L27" s="80"/>
    </row>
    <row r="28" spans="1:14" x14ac:dyDescent="0.2">
      <c r="D28" s="16"/>
      <c r="E28" s="80"/>
      <c r="F28" s="80"/>
      <c r="G28" s="80"/>
      <c r="H28" s="80"/>
      <c r="I28" s="80"/>
      <c r="J28" s="80"/>
      <c r="K28" s="80"/>
      <c r="L28" s="80"/>
    </row>
    <row r="29" spans="1:14" x14ac:dyDescent="0.2">
      <c r="E29" s="80"/>
      <c r="F29" s="80"/>
      <c r="G29" s="80"/>
      <c r="H29" s="80"/>
      <c r="I29" s="80"/>
      <c r="J29" s="80"/>
      <c r="K29" s="80"/>
      <c r="L29" s="80"/>
    </row>
    <row r="30" spans="1:14" x14ac:dyDescent="0.2">
      <c r="E30" s="80"/>
      <c r="F30" s="80"/>
      <c r="G30" s="80"/>
      <c r="H30" s="80"/>
      <c r="I30" s="80"/>
      <c r="J30" s="80"/>
      <c r="K30" s="80"/>
      <c r="L30" s="80"/>
    </row>
    <row r="31" spans="1:14" x14ac:dyDescent="0.2">
      <c r="E31" s="80"/>
      <c r="F31" s="80"/>
      <c r="G31" s="80"/>
      <c r="H31" s="80"/>
      <c r="I31" s="80"/>
      <c r="J31" s="80"/>
      <c r="K31" s="80"/>
      <c r="L31" s="80"/>
    </row>
    <row r="32" spans="1:14" x14ac:dyDescent="0.2">
      <c r="E32" s="80"/>
      <c r="F32" s="80"/>
      <c r="G32" s="80"/>
      <c r="H32" s="80"/>
      <c r="I32" s="80"/>
      <c r="J32" s="80"/>
      <c r="K32" s="80"/>
      <c r="L32" s="80"/>
    </row>
    <row r="33" spans="4:15" x14ac:dyDescent="0.2">
      <c r="D33" s="16"/>
      <c r="E33" s="80"/>
      <c r="F33" s="80"/>
      <c r="G33" s="80"/>
      <c r="H33" s="80"/>
      <c r="I33" s="80"/>
      <c r="J33" s="80"/>
      <c r="K33" s="80"/>
      <c r="L33" s="80"/>
    </row>
    <row r="34" spans="4:15" x14ac:dyDescent="0.2">
      <c r="D34" s="17"/>
      <c r="E34" s="80"/>
      <c r="F34" s="80"/>
      <c r="G34" s="80"/>
      <c r="H34" s="80"/>
      <c r="I34" s="80"/>
      <c r="J34" s="80"/>
      <c r="K34" s="80"/>
      <c r="L34" s="80"/>
    </row>
    <row r="35" spans="4:15" x14ac:dyDescent="0.2">
      <c r="E35" s="80"/>
      <c r="F35" s="80"/>
      <c r="G35" s="80"/>
      <c r="H35" s="80"/>
      <c r="I35" s="80"/>
      <c r="J35" s="80"/>
      <c r="K35" s="80"/>
      <c r="L35" s="80"/>
    </row>
    <row r="36" spans="4:15" x14ac:dyDescent="0.2">
      <c r="E36" s="80"/>
      <c r="F36" s="80"/>
      <c r="G36" s="80"/>
      <c r="H36" s="80"/>
      <c r="I36" s="80"/>
      <c r="J36" s="80"/>
      <c r="K36" s="80"/>
      <c r="L36" s="80"/>
      <c r="O36" s="19"/>
    </row>
    <row r="37" spans="4:15" x14ac:dyDescent="0.2">
      <c r="E37" s="80"/>
      <c r="F37" s="80"/>
      <c r="G37" s="80"/>
      <c r="H37" s="80"/>
      <c r="I37" s="80"/>
      <c r="J37" s="80"/>
      <c r="K37" s="80"/>
      <c r="L37" s="80"/>
    </row>
    <row r="38" spans="4:15" x14ac:dyDescent="0.2">
      <c r="E38" s="80"/>
      <c r="F38" s="80"/>
      <c r="G38" s="80"/>
      <c r="H38" s="80"/>
      <c r="I38" s="80"/>
      <c r="J38" s="80"/>
      <c r="K38" s="80"/>
      <c r="L38" s="80"/>
    </row>
    <row r="39" spans="4:15" x14ac:dyDescent="0.2">
      <c r="E39" s="80"/>
      <c r="F39" s="80"/>
      <c r="G39" s="80"/>
      <c r="H39" s="80"/>
      <c r="I39" s="80"/>
      <c r="J39" s="80"/>
      <c r="K39" s="80"/>
      <c r="L39" s="80"/>
    </row>
    <row r="40" spans="4:15" x14ac:dyDescent="0.2">
      <c r="E40" s="80"/>
      <c r="F40" s="80"/>
      <c r="G40" s="80"/>
      <c r="H40" s="80"/>
      <c r="I40" s="80"/>
      <c r="J40" s="80"/>
      <c r="K40" s="80"/>
      <c r="L40" s="80"/>
    </row>
    <row r="41" spans="4:15" x14ac:dyDescent="0.2">
      <c r="E41" s="80"/>
      <c r="F41" s="80"/>
      <c r="G41" s="80"/>
      <c r="H41" s="80"/>
      <c r="I41" s="80"/>
      <c r="J41" s="80"/>
      <c r="K41" s="80"/>
      <c r="L41" s="80"/>
    </row>
    <row r="42" spans="4:15" x14ac:dyDescent="0.2">
      <c r="E42" s="80"/>
      <c r="F42" s="80"/>
      <c r="G42" s="80"/>
      <c r="H42" s="80"/>
      <c r="I42" s="80"/>
      <c r="J42" s="80"/>
      <c r="K42" s="80"/>
      <c r="L42" s="80"/>
    </row>
    <row r="43" spans="4:15" x14ac:dyDescent="0.2">
      <c r="E43" s="80"/>
      <c r="F43" s="80"/>
      <c r="G43" s="80"/>
      <c r="H43" s="80"/>
      <c r="I43" s="80"/>
      <c r="J43" s="80"/>
      <c r="K43" s="80"/>
      <c r="L43" s="80"/>
    </row>
    <row r="44" spans="4:15" x14ac:dyDescent="0.2">
      <c r="E44" s="80"/>
      <c r="F44" s="80"/>
      <c r="G44" s="80"/>
      <c r="H44" s="80"/>
      <c r="I44" s="80"/>
      <c r="J44" s="80"/>
      <c r="K44" s="80"/>
      <c r="L44" s="80"/>
    </row>
    <row r="45" spans="4:15" x14ac:dyDescent="0.2">
      <c r="E45" s="80"/>
      <c r="F45" s="80"/>
      <c r="G45" s="80"/>
      <c r="H45" s="80"/>
      <c r="I45" s="80"/>
      <c r="J45" s="80"/>
      <c r="K45" s="80"/>
      <c r="L45" s="80"/>
    </row>
    <row r="46" spans="4:15" x14ac:dyDescent="0.2">
      <c r="E46" s="80"/>
      <c r="F46" s="80"/>
      <c r="G46" s="80"/>
      <c r="H46" s="80"/>
      <c r="I46" s="80"/>
      <c r="J46" s="80"/>
      <c r="K46" s="80"/>
      <c r="L46" s="80"/>
    </row>
    <row r="47" spans="4:15" x14ac:dyDescent="0.2">
      <c r="E47" s="80"/>
      <c r="F47" s="80"/>
      <c r="G47" s="80"/>
      <c r="H47" s="80"/>
      <c r="I47" s="80"/>
      <c r="J47" s="80"/>
      <c r="K47" s="80"/>
      <c r="L47" s="80"/>
    </row>
    <row r="48" spans="4:15" x14ac:dyDescent="0.2">
      <c r="E48" s="80"/>
      <c r="F48" s="80"/>
      <c r="G48" s="80"/>
      <c r="H48" s="80"/>
      <c r="I48" s="80"/>
      <c r="J48" s="80"/>
      <c r="K48" s="80"/>
      <c r="L48" s="80"/>
    </row>
  </sheetData>
  <autoFilter ref="A6:L6" xr:uid="{2A61BD27-41FC-2641-846C-DE39C784452A}">
    <filterColumn colId="4" showButton="0"/>
    <filterColumn colId="5" showButton="0"/>
    <filterColumn colId="6" showButton="0"/>
    <filterColumn colId="7" showButton="0"/>
    <filterColumn colId="8" showButton="0"/>
  </autoFilter>
  <mergeCells count="12">
    <mergeCell ref="K1:L1"/>
    <mergeCell ref="E6:J6"/>
    <mergeCell ref="E26:L26"/>
    <mergeCell ref="E27:L48"/>
    <mergeCell ref="A22:L22"/>
    <mergeCell ref="A23:C23"/>
    <mergeCell ref="E23:L23"/>
    <mergeCell ref="A24:C24"/>
    <mergeCell ref="E24:L24"/>
    <mergeCell ref="A25:B25"/>
    <mergeCell ref="F25:G25"/>
    <mergeCell ref="H25:L25"/>
  </mergeCells>
  <conditionalFormatting sqref="A8:A21">
    <cfRule type="expression" dxfId="33" priority="41">
      <formula>AND(C8&lt;&gt;"",A8="")</formula>
    </cfRule>
  </conditionalFormatting>
  <conditionalFormatting sqref="A8:A21">
    <cfRule type="expression" dxfId="32" priority="40">
      <formula>AND(C8&lt;&gt;"",A8="")</formula>
    </cfRule>
  </conditionalFormatting>
  <conditionalFormatting sqref="L7 L11:L21">
    <cfRule type="containsText" dxfId="31" priority="34" operator="containsText" text="behind">
      <formula>NOT(ISERROR(SEARCH("behind",L7)))</formula>
    </cfRule>
    <cfRule type="containsText" dxfId="30" priority="35" operator="containsText" text="in progress">
      <formula>NOT(ISERROR(SEARCH("in progress",L7)))</formula>
    </cfRule>
    <cfRule type="containsText" dxfId="29" priority="36" operator="containsText" text="passt nicht">
      <formula>NOT(ISERROR(SEARCH("passt nicht",L7)))</formula>
    </cfRule>
    <cfRule type="containsText" dxfId="28" priority="37" operator="containsText" text="Fehler">
      <formula>NOT(ISERROR(SEARCH("Fehler",L7)))</formula>
    </cfRule>
    <cfRule type="containsText" dxfId="27" priority="38" operator="containsText" text="passt">
      <formula>NOT(ISERROR(SEARCH("passt",L7)))</formula>
    </cfRule>
    <cfRule type="containsText" dxfId="26" priority="39" operator="containsText" text="latest">
      <formula>NOT(ISERROR(SEARCH("latest",L7)))</formula>
    </cfRule>
  </conditionalFormatting>
  <conditionalFormatting sqref="K7:K21">
    <cfRule type="containsText" dxfId="25" priority="28" operator="containsText" text="behind">
      <formula>NOT(ISERROR(SEARCH("behind",K7)))</formula>
    </cfRule>
    <cfRule type="containsText" dxfId="24" priority="29" operator="containsText" text="in progress">
      <formula>NOT(ISERROR(SEARCH("in progress",K7)))</formula>
    </cfRule>
    <cfRule type="containsText" dxfId="23" priority="30" operator="containsText" text="passt nicht">
      <formula>NOT(ISERROR(SEARCH("passt nicht",K7)))</formula>
    </cfRule>
    <cfRule type="containsText" dxfId="22" priority="31" operator="containsText" text="Fehler">
      <formula>NOT(ISERROR(SEARCH("Fehler",K7)))</formula>
    </cfRule>
    <cfRule type="containsText" dxfId="21" priority="32" operator="containsText" text="passt">
      <formula>NOT(ISERROR(SEARCH("passt",K7)))</formula>
    </cfRule>
    <cfRule type="containsText" dxfId="20" priority="33" operator="containsText" text="latest">
      <formula>NOT(ISERROR(SEARCH("latest",K7)))</formula>
    </cfRule>
  </conditionalFormatting>
  <conditionalFormatting sqref="A24 D24:E24">
    <cfRule type="expression" dxfId="19" priority="19">
      <formula>($D$24-$B$4)&gt;0</formula>
    </cfRule>
  </conditionalFormatting>
  <conditionalFormatting sqref="D23">
    <cfRule type="expression" dxfId="18" priority="18">
      <formula>ISERROR(SEARCH("-", $D$23))=TRUE</formula>
    </cfRule>
  </conditionalFormatting>
  <conditionalFormatting sqref="A25 H25">
    <cfRule type="expression" dxfId="17" priority="12">
      <formula>$D$25&gt;=0</formula>
    </cfRule>
  </conditionalFormatting>
  <conditionalFormatting sqref="D25">
    <cfRule type="expression" dxfId="16" priority="11">
      <formula>$D$25&gt;=0</formula>
    </cfRule>
  </conditionalFormatting>
  <conditionalFormatting sqref="C25">
    <cfRule type="expression" dxfId="15" priority="10">
      <formula>$D$25&gt;=0</formula>
    </cfRule>
  </conditionalFormatting>
  <conditionalFormatting sqref="E25">
    <cfRule type="expression" dxfId="14" priority="9">
      <formula>$D$25&gt;=0</formula>
    </cfRule>
  </conditionalFormatting>
  <conditionalFormatting sqref="F25">
    <cfRule type="expression" dxfId="13" priority="8">
      <formula>$D$25&gt;=0</formula>
    </cfRule>
  </conditionalFormatting>
  <conditionalFormatting sqref="A7">
    <cfRule type="expression" dxfId="12" priority="7">
      <formula>AND(C7&lt;&gt;"",A7="")</formula>
    </cfRule>
  </conditionalFormatting>
  <conditionalFormatting sqref="L8:L10">
    <cfRule type="containsText" dxfId="11" priority="1" operator="containsText" text="behind">
      <formula>NOT(ISERROR(SEARCH("behind",L8)))</formula>
    </cfRule>
    <cfRule type="containsText" dxfId="10" priority="2" operator="containsText" text="in progress">
      <formula>NOT(ISERROR(SEARCH("in progress",L8)))</formula>
    </cfRule>
    <cfRule type="containsText" dxfId="9" priority="3" operator="containsText" text="passt nicht">
      <formula>NOT(ISERROR(SEARCH("passt nicht",L8)))</formula>
    </cfRule>
    <cfRule type="containsText" dxfId="8" priority="4" operator="containsText" text="Fehler">
      <formula>NOT(ISERROR(SEARCH("Fehler",L8)))</formula>
    </cfRule>
    <cfRule type="containsText" dxfId="7" priority="5" operator="containsText" text="passt">
      <formula>NOT(ISERROR(SEARCH("passt",L8)))</formula>
    </cfRule>
    <cfRule type="containsText" dxfId="6" priority="6" operator="containsText" text="latest">
      <formula>NOT(ISERROR(SEARCH("latest",L8)))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5066F75-4904-184C-9406-4FA7936C466E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92B8A32A-1FD7-A648-BE68-6D92B889D0E1}">
          <x14:formula1>
            <xm:f>'VBA-Settings'!$D$4:$D$54</xm:f>
          </x14:formula1>
          <xm:sqref>B7:B21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C25F4-EDD1-354B-BC9E-8B396A4768BD}">
  <dimension ref="A1:J7"/>
  <sheetViews>
    <sheetView workbookViewId="0">
      <selection activeCell="H7" sqref="H7"/>
    </sheetView>
  </sheetViews>
  <sheetFormatPr baseColWidth="10" defaultRowHeight="16" x14ac:dyDescent="0.2"/>
  <sheetData>
    <row r="1" spans="1:10" x14ac:dyDescent="0.2">
      <c r="A1" s="96" t="s">
        <v>91</v>
      </c>
      <c r="B1" s="96"/>
      <c r="C1" s="96"/>
      <c r="D1" s="96"/>
      <c r="E1" s="96"/>
    </row>
    <row r="2" spans="1:10" x14ac:dyDescent="0.2">
      <c r="A2" s="27"/>
      <c r="B2" s="27" t="s">
        <v>84</v>
      </c>
      <c r="C2" s="27" t="s">
        <v>85</v>
      </c>
      <c r="D2" s="27" t="s">
        <v>86</v>
      </c>
      <c r="E2" s="27" t="s">
        <v>87</v>
      </c>
      <c r="F2" s="27" t="s">
        <v>88</v>
      </c>
      <c r="G2" s="27" t="s">
        <v>89</v>
      </c>
      <c r="H2" s="27" t="s">
        <v>90</v>
      </c>
      <c r="I2" s="27"/>
      <c r="J2" s="27" t="s">
        <v>97</v>
      </c>
    </row>
    <row r="3" spans="1:10" x14ac:dyDescent="0.2">
      <c r="A3" s="27" t="s">
        <v>92</v>
      </c>
      <c r="B3" s="65">
        <f>Montag!$D$24</f>
        <v>0</v>
      </c>
      <c r="C3" s="65">
        <f>Dienstag!$D$24</f>
        <v>0</v>
      </c>
      <c r="D3" s="65">
        <f>Mittwoch!$D$24</f>
        <v>0</v>
      </c>
      <c r="E3" s="65">
        <f>Donnerstag!$D$24</f>
        <v>0</v>
      </c>
      <c r="F3" s="65">
        <f>Freitag!$D$24</f>
        <v>0</v>
      </c>
      <c r="G3" s="65">
        <f>Samstag!$D$24</f>
        <v>0</v>
      </c>
      <c r="H3" s="65">
        <f>Sonntag!$D$24</f>
        <v>0</v>
      </c>
      <c r="I3" s="27"/>
      <c r="J3" s="65"/>
    </row>
    <row r="4" spans="1:10" x14ac:dyDescent="0.2">
      <c r="A4" s="27" t="s">
        <v>93</v>
      </c>
      <c r="B4" s="66">
        <f>B3*24</f>
        <v>0</v>
      </c>
      <c r="C4" s="66">
        <f t="shared" ref="C4:H4" si="0">C3*24</f>
        <v>0</v>
      </c>
      <c r="D4" s="66">
        <f t="shared" si="0"/>
        <v>0</v>
      </c>
      <c r="E4" s="66">
        <f t="shared" si="0"/>
        <v>0</v>
      </c>
      <c r="F4" s="66">
        <f t="shared" si="0"/>
        <v>0</v>
      </c>
      <c r="G4" s="66">
        <f t="shared" si="0"/>
        <v>0</v>
      </c>
      <c r="H4" s="66">
        <f t="shared" si="0"/>
        <v>0</v>
      </c>
      <c r="I4" s="27"/>
      <c r="J4" s="66">
        <f>SUM(B4:H4)</f>
        <v>0</v>
      </c>
    </row>
    <row r="5" spans="1:10" x14ac:dyDescent="0.2">
      <c r="A5" s="65"/>
      <c r="B5" s="67"/>
      <c r="C5" s="27"/>
      <c r="D5" s="27"/>
      <c r="E5" s="27"/>
      <c r="F5" s="27"/>
      <c r="G5" s="27"/>
      <c r="H5" s="27"/>
      <c r="I5" s="27"/>
      <c r="J5" s="27"/>
    </row>
    <row r="6" spans="1:10" x14ac:dyDescent="0.2">
      <c r="A6" s="65" t="s">
        <v>94</v>
      </c>
      <c r="B6" s="66">
        <f>B4-8</f>
        <v>-8</v>
      </c>
      <c r="C6" s="66">
        <f t="shared" ref="C6:F6" si="1">C4-8</f>
        <v>-8</v>
      </c>
      <c r="D6" s="66">
        <f t="shared" si="1"/>
        <v>-8</v>
      </c>
      <c r="E6" s="66">
        <f t="shared" si="1"/>
        <v>-8</v>
      </c>
      <c r="F6" s="66">
        <f t="shared" si="1"/>
        <v>-8</v>
      </c>
      <c r="G6" s="66">
        <f>F6</f>
        <v>-8</v>
      </c>
      <c r="H6" s="66">
        <f>G6</f>
        <v>-8</v>
      </c>
      <c r="I6" s="27"/>
      <c r="J6" s="27"/>
    </row>
    <row r="7" spans="1:10" x14ac:dyDescent="0.2">
      <c r="A7" s="27" t="s">
        <v>95</v>
      </c>
      <c r="B7" s="66">
        <f>B6</f>
        <v>-8</v>
      </c>
      <c r="C7" s="66">
        <f>C6+B7</f>
        <v>-16</v>
      </c>
      <c r="D7" s="66">
        <f>D6+C7</f>
        <v>-24</v>
      </c>
      <c r="E7" s="66">
        <f>E6+D7</f>
        <v>-32</v>
      </c>
      <c r="F7" s="66">
        <f>F6+E7</f>
        <v>-40</v>
      </c>
      <c r="G7" s="66">
        <f>F7+G4</f>
        <v>-40</v>
      </c>
      <c r="H7" s="66">
        <f>G7+H4</f>
        <v>-40</v>
      </c>
      <c r="I7" s="27"/>
      <c r="J7" s="27"/>
    </row>
  </sheetData>
  <mergeCells count="1">
    <mergeCell ref="A1:E1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2236C-32C3-F64F-B93F-7FC24689C8FA}">
  <sheetPr codeName="Tabelle1"/>
  <dimension ref="A1:L54"/>
  <sheetViews>
    <sheetView workbookViewId="0">
      <selection activeCell="M5" sqref="M5"/>
    </sheetView>
  </sheetViews>
  <sheetFormatPr baseColWidth="10" defaultRowHeight="16" x14ac:dyDescent="0.2"/>
  <cols>
    <col min="1" max="1" width="21.6640625" bestFit="1" customWidth="1"/>
    <col min="2" max="2" width="48.5" bestFit="1" customWidth="1"/>
    <col min="3" max="3" width="13.5" bestFit="1" customWidth="1"/>
    <col min="4" max="4" width="60.33203125" customWidth="1"/>
    <col min="5" max="5" width="13.6640625" bestFit="1" customWidth="1"/>
    <col min="7" max="7" width="38.6640625" bestFit="1" customWidth="1"/>
    <col min="8" max="8" width="30.83203125" bestFit="1" customWidth="1"/>
    <col min="9" max="9" width="10.83203125" customWidth="1"/>
    <col min="10" max="10" width="34.5" bestFit="1" customWidth="1"/>
  </cols>
  <sheetData>
    <row r="1" spans="1:12" x14ac:dyDescent="0.2">
      <c r="C1" s="28" t="s">
        <v>47</v>
      </c>
    </row>
    <row r="2" spans="1:12" ht="21" x14ac:dyDescent="0.25">
      <c r="A2" s="43"/>
      <c r="B2" s="42" t="s">
        <v>63</v>
      </c>
      <c r="C2" s="29" t="s">
        <v>48</v>
      </c>
      <c r="D2" s="45"/>
      <c r="E2" s="44" t="s">
        <v>69</v>
      </c>
      <c r="G2" s="99" t="s">
        <v>37</v>
      </c>
      <c r="H2" s="100"/>
      <c r="I2" s="20" t="s">
        <v>52</v>
      </c>
      <c r="J2" s="20" t="s">
        <v>38</v>
      </c>
      <c r="K2" s="20" t="s">
        <v>64</v>
      </c>
      <c r="L2" s="46" t="s">
        <v>65</v>
      </c>
    </row>
    <row r="3" spans="1:12" x14ac:dyDescent="0.2">
      <c r="A3" s="41" t="s">
        <v>33</v>
      </c>
      <c r="B3" s="41" t="s">
        <v>34</v>
      </c>
      <c r="C3" t="s">
        <v>72</v>
      </c>
      <c r="D3" s="41" t="s">
        <v>35</v>
      </c>
      <c r="E3" s="41" t="s">
        <v>36</v>
      </c>
      <c r="G3" s="23" t="s">
        <v>39</v>
      </c>
      <c r="H3" s="24"/>
      <c r="I3" s="23" t="s">
        <v>54</v>
      </c>
      <c r="J3" s="23" t="s">
        <v>60</v>
      </c>
      <c r="K3" s="23"/>
      <c r="L3" s="23"/>
    </row>
    <row r="4" spans="1:12" x14ac:dyDescent="0.2">
      <c r="A4" s="22"/>
      <c r="B4" s="22"/>
      <c r="C4" t="s">
        <v>72</v>
      </c>
      <c r="D4" s="22"/>
      <c r="E4" s="21"/>
      <c r="G4" s="23" t="s">
        <v>40</v>
      </c>
      <c r="H4" s="24"/>
      <c r="I4" s="23" t="s">
        <v>54</v>
      </c>
      <c r="J4" s="23"/>
      <c r="K4" s="23"/>
      <c r="L4" s="23"/>
    </row>
    <row r="5" spans="1:12" x14ac:dyDescent="0.2">
      <c r="A5" s="22"/>
      <c r="B5" s="22"/>
      <c r="C5" t="s">
        <v>72</v>
      </c>
      <c r="D5" s="22"/>
      <c r="E5" s="21"/>
      <c r="G5" s="23" t="s">
        <v>41</v>
      </c>
      <c r="H5" s="26"/>
      <c r="I5" s="40" t="s">
        <v>72</v>
      </c>
      <c r="J5" s="40" t="s">
        <v>66</v>
      </c>
      <c r="K5" s="54"/>
      <c r="L5" s="49"/>
    </row>
    <row r="6" spans="1:12" x14ac:dyDescent="0.2">
      <c r="A6" s="22"/>
      <c r="B6" s="22"/>
      <c r="C6" t="s">
        <v>72</v>
      </c>
      <c r="D6" s="22"/>
      <c r="E6" s="21"/>
      <c r="G6" s="23" t="s">
        <v>42</v>
      </c>
      <c r="H6" s="50"/>
      <c r="I6" s="23" t="s">
        <v>54</v>
      </c>
      <c r="J6" s="23" t="s">
        <v>61</v>
      </c>
      <c r="K6" s="23"/>
      <c r="L6" s="23"/>
    </row>
    <row r="7" spans="1:12" x14ac:dyDescent="0.2">
      <c r="A7" s="22"/>
      <c r="B7" s="22"/>
      <c r="C7" t="s">
        <v>72</v>
      </c>
      <c r="D7" s="22"/>
      <c r="E7" s="21"/>
      <c r="G7" s="23" t="s">
        <v>43</v>
      </c>
      <c r="H7" s="25"/>
      <c r="I7" s="23" t="s">
        <v>54</v>
      </c>
      <c r="J7" s="23" t="s">
        <v>62</v>
      </c>
      <c r="K7" s="23"/>
      <c r="L7" s="23"/>
    </row>
    <row r="8" spans="1:12" x14ac:dyDescent="0.2">
      <c r="A8" s="22"/>
      <c r="B8" s="22"/>
      <c r="C8" t="s">
        <v>72</v>
      </c>
      <c r="D8" s="22"/>
      <c r="E8" s="21"/>
      <c r="I8" s="50"/>
      <c r="J8" s="51"/>
    </row>
    <row r="9" spans="1:12" x14ac:dyDescent="0.2">
      <c r="A9" s="22"/>
      <c r="B9" s="22"/>
      <c r="C9" t="s">
        <v>72</v>
      </c>
      <c r="D9" s="22"/>
      <c r="E9" s="21"/>
      <c r="I9" s="52"/>
      <c r="J9" s="53"/>
    </row>
    <row r="10" spans="1:12" x14ac:dyDescent="0.2">
      <c r="A10" s="22"/>
      <c r="B10" s="22"/>
      <c r="C10" t="s">
        <v>72</v>
      </c>
      <c r="D10" s="22"/>
      <c r="E10" s="21"/>
    </row>
    <row r="11" spans="1:12" x14ac:dyDescent="0.2">
      <c r="A11" s="22"/>
      <c r="B11" s="22"/>
      <c r="C11" t="s">
        <v>72</v>
      </c>
      <c r="D11" s="22"/>
      <c r="E11" s="21"/>
      <c r="G11" s="101" t="s">
        <v>51</v>
      </c>
      <c r="H11" s="101"/>
      <c r="I11" s="20" t="s">
        <v>52</v>
      </c>
      <c r="J11" s="48" t="s">
        <v>38</v>
      </c>
    </row>
    <row r="12" spans="1:12" x14ac:dyDescent="0.2">
      <c r="A12" s="22"/>
      <c r="B12" s="22"/>
      <c r="C12" t="s">
        <v>72</v>
      </c>
      <c r="D12" s="22"/>
      <c r="E12" s="21"/>
      <c r="G12" s="23" t="s">
        <v>53</v>
      </c>
      <c r="H12" s="51"/>
      <c r="I12" s="23" t="s">
        <v>54</v>
      </c>
      <c r="J12" s="23" t="s">
        <v>55</v>
      </c>
    </row>
    <row r="13" spans="1:12" x14ac:dyDescent="0.2">
      <c r="A13" s="22"/>
      <c r="B13" s="22"/>
      <c r="C13" t="s">
        <v>72</v>
      </c>
      <c r="D13" s="22"/>
      <c r="E13" s="21"/>
      <c r="G13" s="23" t="s">
        <v>70</v>
      </c>
      <c r="H13" s="38" t="s">
        <v>57</v>
      </c>
      <c r="I13" s="23"/>
      <c r="J13" s="23" t="s">
        <v>76</v>
      </c>
    </row>
    <row r="14" spans="1:12" x14ac:dyDescent="0.2">
      <c r="A14" s="22"/>
      <c r="B14" s="22"/>
      <c r="C14" t="s">
        <v>72</v>
      </c>
      <c r="D14" s="22"/>
      <c r="E14" s="21"/>
      <c r="G14" s="23" t="s">
        <v>56</v>
      </c>
      <c r="H14" s="38" t="s">
        <v>45</v>
      </c>
      <c r="I14" s="23"/>
      <c r="J14" s="23" t="s">
        <v>71</v>
      </c>
    </row>
    <row r="15" spans="1:12" x14ac:dyDescent="0.2">
      <c r="A15" s="22"/>
      <c r="B15" s="22"/>
      <c r="C15" t="s">
        <v>72</v>
      </c>
      <c r="D15" s="22"/>
      <c r="E15" s="21"/>
    </row>
    <row r="16" spans="1:12" x14ac:dyDescent="0.2">
      <c r="A16" s="22"/>
      <c r="B16" s="22"/>
      <c r="C16" t="s">
        <v>72</v>
      </c>
      <c r="D16" s="22"/>
      <c r="E16" s="21"/>
      <c r="G16" s="101" t="s">
        <v>44</v>
      </c>
      <c r="H16" s="101"/>
      <c r="I16" s="20" t="s">
        <v>52</v>
      </c>
      <c r="J16" s="48" t="s">
        <v>38</v>
      </c>
    </row>
    <row r="17" spans="1:11" x14ac:dyDescent="0.2">
      <c r="A17" s="22"/>
      <c r="B17" s="22"/>
      <c r="C17" t="s">
        <v>72</v>
      </c>
      <c r="D17" s="22"/>
      <c r="E17" s="21"/>
      <c r="G17" s="23" t="s">
        <v>58</v>
      </c>
      <c r="H17" s="39"/>
      <c r="I17" s="23" t="s">
        <v>54</v>
      </c>
      <c r="J17" s="23" t="s">
        <v>59</v>
      </c>
    </row>
    <row r="18" spans="1:11" x14ac:dyDescent="0.2">
      <c r="A18" s="22"/>
      <c r="B18" s="22"/>
      <c r="C18" t="s">
        <v>72</v>
      </c>
      <c r="D18" s="21"/>
      <c r="E18" s="21"/>
      <c r="G18" s="23" t="s">
        <v>50</v>
      </c>
      <c r="H18" s="27" t="s">
        <v>45</v>
      </c>
      <c r="I18" s="23"/>
      <c r="J18" s="23"/>
    </row>
    <row r="19" spans="1:11" x14ac:dyDescent="0.2">
      <c r="A19" s="22"/>
      <c r="B19" s="22"/>
      <c r="C19" t="s">
        <v>72</v>
      </c>
      <c r="D19" s="22"/>
      <c r="E19" s="21"/>
      <c r="G19" s="23" t="s">
        <v>49</v>
      </c>
      <c r="H19" s="27" t="s">
        <v>45</v>
      </c>
      <c r="I19" s="23"/>
      <c r="J19" s="23"/>
    </row>
    <row r="20" spans="1:11" x14ac:dyDescent="0.2">
      <c r="A20" s="22"/>
      <c r="B20" s="22"/>
      <c r="C20" t="s">
        <v>72</v>
      </c>
      <c r="D20" s="22"/>
      <c r="E20" s="21"/>
      <c r="G20" s="23" t="s">
        <v>67</v>
      </c>
      <c r="H20" s="40"/>
      <c r="I20" s="40"/>
      <c r="J20" s="40" t="s">
        <v>68</v>
      </c>
    </row>
    <row r="21" spans="1:11" x14ac:dyDescent="0.2">
      <c r="A21" s="22"/>
      <c r="B21" s="22"/>
      <c r="C21" t="s">
        <v>72</v>
      </c>
      <c r="D21" s="22"/>
      <c r="E21" s="21"/>
    </row>
    <row r="22" spans="1:11" x14ac:dyDescent="0.2">
      <c r="A22" s="22"/>
      <c r="B22" s="22"/>
      <c r="C22" t="s">
        <v>72</v>
      </c>
      <c r="D22" s="22"/>
      <c r="E22" s="21"/>
      <c r="G22" s="101" t="s">
        <v>73</v>
      </c>
      <c r="H22" s="101"/>
      <c r="I22" s="20" t="s">
        <v>52</v>
      </c>
      <c r="J22" s="20" t="s">
        <v>38</v>
      </c>
      <c r="K22" s="46" t="s">
        <v>65</v>
      </c>
    </row>
    <row r="23" spans="1:11" x14ac:dyDescent="0.2">
      <c r="A23" s="22"/>
      <c r="B23" s="22"/>
      <c r="C23" t="s">
        <v>72</v>
      </c>
      <c r="D23" s="22"/>
      <c r="E23" s="21"/>
      <c r="G23" s="23" t="s">
        <v>74</v>
      </c>
      <c r="H23" s="27" t="s">
        <v>45</v>
      </c>
      <c r="I23" s="23"/>
      <c r="J23" s="23" t="s">
        <v>75</v>
      </c>
      <c r="K23" s="47" t="s">
        <v>83</v>
      </c>
    </row>
    <row r="24" spans="1:11" x14ac:dyDescent="0.2">
      <c r="A24" s="22"/>
      <c r="B24" s="22"/>
      <c r="C24" t="s">
        <v>72</v>
      </c>
      <c r="D24" s="22"/>
      <c r="E24" s="21"/>
    </row>
    <row r="25" spans="1:11" x14ac:dyDescent="0.2">
      <c r="A25" s="22"/>
      <c r="B25" s="22"/>
      <c r="C25" t="s">
        <v>72</v>
      </c>
      <c r="D25" s="22"/>
      <c r="E25" s="21"/>
    </row>
    <row r="26" spans="1:11" x14ac:dyDescent="0.2">
      <c r="A26" s="22"/>
      <c r="B26" s="22"/>
      <c r="C26" t="s">
        <v>72</v>
      </c>
      <c r="D26" s="22"/>
      <c r="E26" s="21"/>
      <c r="G26" s="102" t="s">
        <v>32</v>
      </c>
      <c r="H26" s="102"/>
      <c r="I26" s="102"/>
      <c r="J26" s="102"/>
    </row>
    <row r="27" spans="1:11" ht="16" customHeight="1" x14ac:dyDescent="0.2">
      <c r="A27" s="22"/>
      <c r="B27" s="22"/>
      <c r="C27" t="s">
        <v>72</v>
      </c>
      <c r="D27" s="22"/>
      <c r="E27" s="21"/>
      <c r="G27" s="97" t="s">
        <v>98</v>
      </c>
      <c r="H27" s="97"/>
      <c r="I27" s="97"/>
      <c r="J27" s="97"/>
    </row>
    <row r="28" spans="1:11" x14ac:dyDescent="0.2">
      <c r="A28" s="22"/>
      <c r="B28" s="22"/>
      <c r="C28" t="s">
        <v>72</v>
      </c>
      <c r="D28" s="22"/>
      <c r="E28" s="21"/>
      <c r="G28" s="98"/>
      <c r="H28" s="98"/>
      <c r="I28" s="98"/>
      <c r="J28" s="98"/>
    </row>
    <row r="29" spans="1:11" x14ac:dyDescent="0.2">
      <c r="A29" s="22"/>
      <c r="B29" s="22"/>
      <c r="C29" t="s">
        <v>72</v>
      </c>
      <c r="D29" s="22"/>
      <c r="E29" s="21"/>
      <c r="G29" s="98"/>
      <c r="H29" s="98"/>
      <c r="I29" s="98"/>
      <c r="J29" s="98"/>
    </row>
    <row r="30" spans="1:11" x14ac:dyDescent="0.2">
      <c r="A30" s="22"/>
      <c r="B30" s="22"/>
      <c r="C30" t="s">
        <v>72</v>
      </c>
      <c r="D30" s="22"/>
      <c r="E30" s="21"/>
      <c r="G30" s="98"/>
      <c r="H30" s="98"/>
      <c r="I30" s="98"/>
      <c r="J30" s="98"/>
    </row>
    <row r="31" spans="1:11" x14ac:dyDescent="0.2">
      <c r="A31" s="22"/>
      <c r="B31" s="22"/>
      <c r="C31" t="s">
        <v>72</v>
      </c>
      <c r="D31" s="22"/>
      <c r="E31" s="21"/>
      <c r="G31" s="98"/>
      <c r="H31" s="98"/>
      <c r="I31" s="98"/>
      <c r="J31" s="98"/>
    </row>
    <row r="32" spans="1:11" x14ac:dyDescent="0.2">
      <c r="A32" s="22"/>
      <c r="B32" s="22"/>
      <c r="C32" t="s">
        <v>72</v>
      </c>
      <c r="D32" s="21"/>
      <c r="E32" s="21"/>
      <c r="G32" s="98"/>
      <c r="H32" s="98"/>
      <c r="I32" s="98"/>
      <c r="J32" s="98"/>
    </row>
    <row r="33" spans="1:10" x14ac:dyDescent="0.2">
      <c r="A33" s="22"/>
      <c r="B33" s="22"/>
      <c r="C33" t="s">
        <v>72</v>
      </c>
      <c r="D33" s="22"/>
      <c r="E33" s="21"/>
      <c r="G33" s="98"/>
      <c r="H33" s="98"/>
      <c r="I33" s="98"/>
      <c r="J33" s="98"/>
    </row>
    <row r="34" spans="1:10" x14ac:dyDescent="0.2">
      <c r="A34" s="22"/>
      <c r="B34" s="22"/>
      <c r="C34" t="s">
        <v>72</v>
      </c>
      <c r="D34" s="22"/>
      <c r="E34" s="21"/>
      <c r="G34" s="98"/>
      <c r="H34" s="98"/>
      <c r="I34" s="98"/>
      <c r="J34" s="98"/>
    </row>
    <row r="35" spans="1:10" x14ac:dyDescent="0.2">
      <c r="A35" s="22"/>
      <c r="B35" s="22"/>
      <c r="C35" t="s">
        <v>72</v>
      </c>
      <c r="D35" s="22"/>
      <c r="E35" s="21"/>
      <c r="G35" s="98"/>
      <c r="H35" s="98"/>
      <c r="I35" s="98"/>
      <c r="J35" s="98"/>
    </row>
    <row r="36" spans="1:10" x14ac:dyDescent="0.2">
      <c r="A36" s="22"/>
      <c r="B36" s="22"/>
      <c r="C36" t="s">
        <v>72</v>
      </c>
      <c r="D36" s="22"/>
      <c r="E36" s="21"/>
      <c r="G36" s="98"/>
      <c r="H36" s="98"/>
      <c r="I36" s="98"/>
      <c r="J36" s="98"/>
    </row>
    <row r="37" spans="1:10" x14ac:dyDescent="0.2">
      <c r="A37" s="22"/>
      <c r="B37" s="22"/>
      <c r="C37" t="s">
        <v>72</v>
      </c>
      <c r="D37" s="22"/>
      <c r="E37" s="21"/>
      <c r="G37" s="98"/>
      <c r="H37" s="98"/>
      <c r="I37" s="98"/>
      <c r="J37" s="98"/>
    </row>
    <row r="38" spans="1:10" x14ac:dyDescent="0.2">
      <c r="A38" s="22"/>
      <c r="B38" s="22"/>
      <c r="C38" t="s">
        <v>72</v>
      </c>
      <c r="D38" s="22"/>
      <c r="E38" s="21"/>
      <c r="G38" s="98"/>
      <c r="H38" s="98"/>
      <c r="I38" s="98"/>
      <c r="J38" s="98"/>
    </row>
    <row r="39" spans="1:10" x14ac:dyDescent="0.2">
      <c r="A39" s="22"/>
      <c r="B39" s="22"/>
      <c r="C39" t="s">
        <v>72</v>
      </c>
      <c r="D39" s="22"/>
      <c r="E39" s="21"/>
      <c r="G39" s="98"/>
      <c r="H39" s="98"/>
      <c r="I39" s="98"/>
      <c r="J39" s="98"/>
    </row>
    <row r="40" spans="1:10" x14ac:dyDescent="0.2">
      <c r="A40" s="22"/>
      <c r="B40" s="22"/>
      <c r="C40" t="s">
        <v>72</v>
      </c>
      <c r="D40" s="22"/>
      <c r="E40" s="21"/>
      <c r="G40" s="98"/>
      <c r="H40" s="98"/>
      <c r="I40" s="98"/>
      <c r="J40" s="98"/>
    </row>
    <row r="41" spans="1:10" x14ac:dyDescent="0.2">
      <c r="A41" s="22"/>
      <c r="B41" s="22"/>
      <c r="C41" t="s">
        <v>72</v>
      </c>
      <c r="D41" s="22"/>
      <c r="E41" s="21"/>
      <c r="G41" s="98"/>
      <c r="H41" s="98"/>
      <c r="I41" s="98"/>
      <c r="J41" s="98"/>
    </row>
    <row r="42" spans="1:10" x14ac:dyDescent="0.2">
      <c r="A42" s="22"/>
      <c r="B42" s="22"/>
      <c r="C42" t="s">
        <v>72</v>
      </c>
      <c r="D42" s="22"/>
      <c r="E42" s="21"/>
      <c r="G42" s="98"/>
      <c r="H42" s="98"/>
      <c r="I42" s="98"/>
      <c r="J42" s="98"/>
    </row>
    <row r="43" spans="1:10" x14ac:dyDescent="0.2">
      <c r="A43" s="22"/>
      <c r="B43" s="22"/>
      <c r="D43" s="22"/>
      <c r="E43" s="21"/>
      <c r="G43" s="98"/>
      <c r="H43" s="98"/>
      <c r="I43" s="98"/>
      <c r="J43" s="98"/>
    </row>
    <row r="44" spans="1:10" x14ac:dyDescent="0.2">
      <c r="A44" s="22"/>
      <c r="B44" s="22"/>
      <c r="C44" t="s">
        <v>72</v>
      </c>
      <c r="D44" s="22"/>
      <c r="E44" s="21"/>
      <c r="G44" s="98"/>
      <c r="H44" s="98"/>
      <c r="I44" s="98"/>
      <c r="J44" s="98"/>
    </row>
    <row r="45" spans="1:10" x14ac:dyDescent="0.2">
      <c r="A45" s="22"/>
      <c r="B45" s="22"/>
      <c r="C45" t="s">
        <v>72</v>
      </c>
      <c r="D45" s="22"/>
      <c r="E45" s="21"/>
      <c r="G45" s="98"/>
      <c r="H45" s="98"/>
      <c r="I45" s="98"/>
      <c r="J45" s="98"/>
    </row>
    <row r="46" spans="1:10" x14ac:dyDescent="0.2">
      <c r="A46" s="22"/>
      <c r="B46" s="22"/>
      <c r="C46" t="s">
        <v>72</v>
      </c>
      <c r="D46" s="22"/>
      <c r="E46" s="21"/>
      <c r="G46" s="98"/>
      <c r="H46" s="98"/>
      <c r="I46" s="98"/>
      <c r="J46" s="98"/>
    </row>
    <row r="47" spans="1:10" x14ac:dyDescent="0.2">
      <c r="A47" s="22"/>
      <c r="B47" s="22"/>
      <c r="C47" t="s">
        <v>72</v>
      </c>
      <c r="D47" s="22"/>
      <c r="E47" s="21"/>
      <c r="G47" s="98"/>
      <c r="H47" s="98"/>
      <c r="I47" s="98"/>
      <c r="J47" s="98"/>
    </row>
    <row r="48" spans="1:10" x14ac:dyDescent="0.2">
      <c r="A48" s="22"/>
      <c r="B48" s="22"/>
      <c r="C48" t="s">
        <v>72</v>
      </c>
      <c r="D48" s="22"/>
      <c r="E48" s="21"/>
      <c r="G48" s="98"/>
      <c r="H48" s="98"/>
      <c r="I48" s="98"/>
      <c r="J48" s="98"/>
    </row>
    <row r="49" spans="1:5" x14ac:dyDescent="0.2">
      <c r="A49" s="22"/>
      <c r="B49" s="22"/>
      <c r="C49" t="s">
        <v>72</v>
      </c>
      <c r="D49" s="22"/>
      <c r="E49" s="21"/>
    </row>
    <row r="50" spans="1:5" x14ac:dyDescent="0.2">
      <c r="A50" s="22"/>
      <c r="B50" s="22"/>
      <c r="C50" t="s">
        <v>72</v>
      </c>
      <c r="D50" s="22"/>
      <c r="E50" s="21"/>
    </row>
    <row r="51" spans="1:5" x14ac:dyDescent="0.2">
      <c r="A51" s="22"/>
      <c r="B51" s="22"/>
      <c r="C51" t="s">
        <v>72</v>
      </c>
      <c r="D51" s="22"/>
      <c r="E51" s="21"/>
    </row>
    <row r="52" spans="1:5" x14ac:dyDescent="0.2">
      <c r="A52" s="22"/>
      <c r="B52" s="22"/>
      <c r="C52" t="s">
        <v>72</v>
      </c>
      <c r="D52" s="22"/>
      <c r="E52" s="21"/>
    </row>
    <row r="53" spans="1:5" x14ac:dyDescent="0.2">
      <c r="A53" s="22"/>
      <c r="B53" s="22"/>
      <c r="C53" t="s">
        <v>72</v>
      </c>
      <c r="D53" s="22"/>
      <c r="E53" s="22"/>
    </row>
    <row r="54" spans="1:5" x14ac:dyDescent="0.2">
      <c r="A54" s="22"/>
      <c r="B54" s="22"/>
      <c r="C54" t="s">
        <v>72</v>
      </c>
      <c r="D54" s="22"/>
      <c r="E54" s="22"/>
    </row>
  </sheetData>
  <sortState xmlns:xlrd2="http://schemas.microsoft.com/office/spreadsheetml/2017/richdata2" ref="D4:E43">
    <sortCondition ref="D4:D43"/>
  </sortState>
  <mergeCells count="6">
    <mergeCell ref="G27:J48"/>
    <mergeCell ref="G2:H2"/>
    <mergeCell ref="G11:H11"/>
    <mergeCell ref="G16:H16"/>
    <mergeCell ref="G26:J26"/>
    <mergeCell ref="G22:H22"/>
  </mergeCells>
  <phoneticPr fontId="10" type="noConversion"/>
  <conditionalFormatting sqref="K23">
    <cfRule type="containsText" dxfId="5" priority="1" operator="containsText" text="behind">
      <formula>NOT(ISERROR(SEARCH("behind",K23)))</formula>
    </cfRule>
    <cfRule type="containsText" dxfId="4" priority="2" operator="containsText" text="in progress">
      <formula>NOT(ISERROR(SEARCH("in progress",K23)))</formula>
    </cfRule>
    <cfRule type="containsText" dxfId="3" priority="3" operator="containsText" text="passt nicht">
      <formula>NOT(ISERROR(SEARCH("passt nicht",K23)))</formula>
    </cfRule>
    <cfRule type="containsText" dxfId="2" priority="4" operator="containsText" text="Fehler">
      <formula>NOT(ISERROR(SEARCH("Fehler",K23)))</formula>
    </cfRule>
    <cfRule type="containsText" dxfId="1" priority="5" operator="containsText" text="passt">
      <formula>NOT(ISERROR(SEARCH("passt",K23)))</formula>
    </cfRule>
    <cfRule type="containsText" dxfId="0" priority="6" operator="containsText" text="latest">
      <formula>NOT(ISERROR(SEARCH("latest",K23)))</formula>
    </cfRule>
  </conditionalFormatting>
  <dataValidations count="1">
    <dataValidation type="list" allowBlank="1" showInputMessage="1" showErrorMessage="1" sqref="H23 H13:H14 H18:H19" xr:uid="{81C1990F-4599-8243-BF78-8C7B514870B5}">
      <formula1>"true,false"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3" name="Button 4">
              <controlPr defaultSize="0" print="0" autoFill="0" autoPict="0" macro="[0]!Button_FetchAllCurrentJiraTicketsFromUser">
                <anchor moveWithCells="1" sizeWithCells="1">
                  <from>
                    <xdr:col>3</xdr:col>
                    <xdr:colOff>25400</xdr:colOff>
                    <xdr:row>0</xdr:row>
                    <xdr:rowOff>12700</xdr:rowOff>
                  </from>
                  <to>
                    <xdr:col>3</xdr:col>
                    <xdr:colOff>1308100</xdr:colOff>
                    <xdr:row>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4" name="Button 5">
              <controlPr defaultSize="0" print="0" autoFill="0" autoPict="0" macro="[0]!Button_FetchProjektronTasksFromUser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1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6070D-9639-6442-8793-277F0183A0FB}">
  <dimension ref="A1:G27"/>
  <sheetViews>
    <sheetView zoomScaleNormal="100" workbookViewId="0">
      <selection activeCell="D20" sqref="D20"/>
    </sheetView>
  </sheetViews>
  <sheetFormatPr baseColWidth="10" defaultRowHeight="16" x14ac:dyDescent="0.2"/>
  <cols>
    <col min="1" max="1" width="27.6640625" bestFit="1" customWidth="1"/>
    <col min="2" max="2" width="31" bestFit="1" customWidth="1"/>
    <col min="3" max="3" width="34.33203125" bestFit="1" customWidth="1"/>
    <col min="4" max="5" width="32.6640625" bestFit="1" customWidth="1"/>
    <col min="6" max="6" width="28.6640625" bestFit="1" customWidth="1"/>
    <col min="7" max="7" width="9.5" bestFit="1" customWidth="1"/>
    <col min="8" max="8" width="28" bestFit="1" customWidth="1"/>
    <col min="9" max="9" width="19.1640625" bestFit="1" customWidth="1"/>
    <col min="10" max="10" width="17.33203125" bestFit="1" customWidth="1"/>
    <col min="11" max="11" width="28.6640625" bestFit="1" customWidth="1"/>
  </cols>
  <sheetData>
    <row r="1" spans="1:6" x14ac:dyDescent="0.2">
      <c r="A1" s="99" t="s">
        <v>44</v>
      </c>
      <c r="B1" s="103"/>
      <c r="C1" s="103"/>
      <c r="D1" s="100"/>
    </row>
    <row r="2" spans="1:6" x14ac:dyDescent="0.2">
      <c r="A2" s="55" t="s">
        <v>58</v>
      </c>
      <c r="B2" s="55" t="s">
        <v>50</v>
      </c>
      <c r="C2" s="55" t="s">
        <v>49</v>
      </c>
      <c r="D2" s="55" t="s">
        <v>67</v>
      </c>
    </row>
    <row r="3" spans="1:6" x14ac:dyDescent="0.2">
      <c r="A3" s="39"/>
      <c r="B3" s="27" t="s">
        <v>45</v>
      </c>
      <c r="C3" s="27" t="s">
        <v>45</v>
      </c>
      <c r="D3" s="40"/>
    </row>
    <row r="5" spans="1:6" x14ac:dyDescent="0.2">
      <c r="A5" s="104" t="s">
        <v>51</v>
      </c>
      <c r="B5" s="105"/>
      <c r="C5" s="105"/>
      <c r="D5" s="105"/>
      <c r="E5" s="105"/>
      <c r="F5" s="105"/>
    </row>
    <row r="6" spans="1:6" x14ac:dyDescent="0.2">
      <c r="A6" s="55" t="s">
        <v>77</v>
      </c>
      <c r="B6" s="55" t="s">
        <v>78</v>
      </c>
      <c r="C6" s="55" t="s">
        <v>82</v>
      </c>
      <c r="D6" s="55" t="s">
        <v>79</v>
      </c>
      <c r="E6" s="55" t="s">
        <v>80</v>
      </c>
      <c r="F6" s="55" t="s">
        <v>81</v>
      </c>
    </row>
    <row r="7" spans="1:6" x14ac:dyDescent="0.2">
      <c r="A7" s="14"/>
      <c r="B7" s="14"/>
      <c r="C7" s="56"/>
      <c r="D7" s="14"/>
      <c r="E7" s="14"/>
      <c r="F7" s="14"/>
    </row>
    <row r="8" spans="1:6" x14ac:dyDescent="0.2">
      <c r="A8" s="14"/>
      <c r="B8" s="14"/>
      <c r="C8" s="56"/>
      <c r="D8" s="14"/>
      <c r="E8" s="14"/>
      <c r="F8" s="14"/>
    </row>
    <row r="9" spans="1:6" x14ac:dyDescent="0.2">
      <c r="A9" s="14"/>
      <c r="B9" s="14"/>
      <c r="C9" s="14"/>
      <c r="D9" s="14"/>
      <c r="E9" s="14"/>
      <c r="F9" s="14"/>
    </row>
    <row r="10" spans="1:6" x14ac:dyDescent="0.2">
      <c r="A10" s="14"/>
      <c r="B10" s="14"/>
      <c r="C10" s="14"/>
      <c r="D10" s="14"/>
      <c r="E10" s="14"/>
      <c r="F10" s="14"/>
    </row>
    <row r="11" spans="1:6" x14ac:dyDescent="0.2">
      <c r="A11" s="14"/>
      <c r="B11" s="14"/>
      <c r="C11" s="14"/>
      <c r="D11" s="14"/>
      <c r="E11" s="14"/>
      <c r="F11" s="14"/>
    </row>
    <row r="12" spans="1:6" x14ac:dyDescent="0.2">
      <c r="A12" s="14"/>
      <c r="B12" s="14"/>
      <c r="C12" s="14"/>
      <c r="D12" s="14"/>
      <c r="E12" s="14"/>
      <c r="F12" s="14"/>
    </row>
    <row r="13" spans="1:6" x14ac:dyDescent="0.2">
      <c r="A13" s="14"/>
      <c r="B13" s="14"/>
      <c r="C13" s="14"/>
      <c r="D13" s="14"/>
      <c r="E13" s="14"/>
      <c r="F13" s="14"/>
    </row>
    <row r="14" spans="1:6" x14ac:dyDescent="0.2">
      <c r="A14" s="14"/>
      <c r="B14" s="14"/>
      <c r="C14" s="14"/>
      <c r="D14" s="14"/>
      <c r="E14" s="14"/>
      <c r="F14" s="14"/>
    </row>
    <row r="15" spans="1:6" x14ac:dyDescent="0.2">
      <c r="A15" s="14"/>
      <c r="B15" s="14"/>
      <c r="C15" s="14"/>
      <c r="D15" s="14"/>
      <c r="E15" s="14"/>
      <c r="F15" s="14"/>
    </row>
    <row r="16" spans="1:6" x14ac:dyDescent="0.2">
      <c r="A16" s="14"/>
      <c r="B16" s="14"/>
      <c r="C16" s="14"/>
      <c r="D16" s="14"/>
      <c r="E16" s="14"/>
      <c r="F16" s="14"/>
    </row>
    <row r="27" spans="5:7" x14ac:dyDescent="0.2">
      <c r="E27" s="58"/>
      <c r="G27" s="58"/>
    </row>
  </sheetData>
  <mergeCells count="2">
    <mergeCell ref="A1:D1"/>
    <mergeCell ref="A5:F5"/>
  </mergeCells>
  <dataValidations count="1">
    <dataValidation type="list" allowBlank="1" showInputMessage="1" showErrorMessage="1" sqref="B3:C3" xr:uid="{A4D83C81-6A4D-E649-A9E6-83B14D8B5257}">
      <formula1>"true,false"</formula1>
    </dataValidation>
  </dataValidation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5" sqref="B5"/>
    </sheetView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46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13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20E2-B649-9E49-B5D3-159088F3EE32}">
  <sheetPr codeName="Tabelle2"/>
  <dimension ref="A2:B2"/>
  <sheetViews>
    <sheetView tabSelected="1" workbookViewId="0"/>
  </sheetViews>
  <sheetFormatPr baseColWidth="10" defaultRowHeight="16" x14ac:dyDescent="0.2"/>
  <sheetData>
    <row r="2" spans="1:2" x14ac:dyDescent="0.2">
      <c r="A2" s="4"/>
      <c r="B2" s="4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Montag</vt:lpstr>
      <vt:lpstr>Dienstag</vt:lpstr>
      <vt:lpstr>Mittwoch</vt:lpstr>
      <vt:lpstr>Donnerstag</vt:lpstr>
      <vt:lpstr>Freitag</vt:lpstr>
      <vt:lpstr>Samstag</vt:lpstr>
      <vt:lpstr>Sonntag</vt:lpstr>
      <vt:lpstr>Wochenübersicht</vt:lpstr>
      <vt:lpstr>VBA-Settings</vt:lpstr>
      <vt:lpstr>ProJi-Settings</vt:lpstr>
      <vt:lpstr>xlwings.conf</vt:lpstr>
      <vt:lpstr>Sonstiges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Erich Klassen</cp:lastModifiedBy>
  <dcterms:created xsi:type="dcterms:W3CDTF">2015-01-25T11:31:25Z</dcterms:created>
  <dcterms:modified xsi:type="dcterms:W3CDTF">2026-02-26T09:43:31Z</dcterms:modified>
</cp:coreProperties>
</file>